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Control Centre" sheetId="1" r:id="rId1"/>
    <sheet name="01 Scenario Comparison" sheetId="2" r:id="rId2"/>
    <sheet name="02 Cost Selected" sheetId="3" r:id="rId3"/>
    <sheet name="03 Cost All Classes" sheetId="4" r:id="rId4"/>
    <sheet name="04 Risk Register" sheetId="5" r:id="rId5"/>
    <sheet name="05 QCRA QSRA Curves" sheetId="6" r:id="rId6"/>
    <sheet name="06 Tornado Drivers" sheetId="7" r:id="rId7"/>
    <sheet name="07 Schedule Levels" sheetId="8" r:id="rId8"/>
    <sheet name="08 Basis + Audit" sheetId="9" r:id="rId9"/>
  </sheets>
  <calcPr calcId="124519" fullCalcOnLoad="1"/>
</workbook>
</file>

<file path=xl/sharedStrings.xml><?xml version="1.0" encoding="utf-8"?>
<sst xmlns="http://schemas.openxmlformats.org/spreadsheetml/2006/main" count="1526" uniqueCount="522">
  <si>
    <t>CASEY v56 GLOBAL STANDARD OUTPUT PACK — AI Data Centre Campus</t>
  </si>
  <si>
    <t>Scenario: Base | Estimate Class: 3 | Schedule Level: 5 | Generated: 2026-05-05 18:08 UTC</t>
  </si>
  <si>
    <t>P50 Cost</t>
  </si>
  <si>
    <t>$5.6B</t>
  </si>
  <si>
    <t>Cost Range</t>
  </si>
  <si>
    <t>$4.5B - $7.3B</t>
  </si>
  <si>
    <t>QCRA P80</t>
  </si>
  <si>
    <t>$6.2B</t>
  </si>
  <si>
    <t>Schedule</t>
  </si>
  <si>
    <t>48 months</t>
  </si>
  <si>
    <t>QSRA P80</t>
  </si>
  <si>
    <t>50.4 months</t>
  </si>
  <si>
    <t>Risk</t>
  </si>
  <si>
    <t>Medium</t>
  </si>
  <si>
    <t>Confidence</t>
  </si>
  <si>
    <t>64%</t>
  </si>
  <si>
    <t>Decision Engine</t>
  </si>
  <si>
    <t>Use as control baseline; approve definition, not unconditional capital.</t>
  </si>
  <si>
    <t>Balanced reference case for first-pass board challenge and option testing.</t>
  </si>
  <si>
    <t>Output QA Lock</t>
  </si>
  <si>
    <t>✓</t>
  </si>
  <si>
    <t>Excel generated with XlsxWriter to avoid workbook repair errors</t>
  </si>
  <si>
    <t>No PPTX/PDF in primary pack</t>
  </si>
  <si>
    <t>Scenario visible on every workbook control sheet</t>
  </si>
  <si>
    <t>All class estimates included; selected class clearly identified</t>
  </si>
  <si>
    <t>All schedule levels included; selected level clearly identified</t>
  </si>
  <si>
    <t>Risk register contains no zero likelihood values</t>
  </si>
  <si>
    <t>QCRA and QSRA curves/tornadoes separated</t>
  </si>
  <si>
    <t>SCENARIO COMPARISON — ALL OPTIONS</t>
  </si>
  <si>
    <t>Selected scenario: Base. These values are scenario-linked and used to drive output interpretation.</t>
  </si>
  <si>
    <t>Scenario</t>
  </si>
  <si>
    <t>P50 Cost BN</t>
  </si>
  <si>
    <t>Delta vs Selected</t>
  </si>
  <si>
    <t>Schedule Months</t>
  </si>
  <si>
    <t>Delta Months</t>
  </si>
  <si>
    <t>QCRA P80 BN</t>
  </si>
  <si>
    <t>QSRA P80 Months</t>
  </si>
  <si>
    <t>Commercial interpretation</t>
  </si>
  <si>
    <t>Board decision</t>
  </si>
  <si>
    <t>Base</t>
  </si>
  <si>
    <t>Faster</t>
  </si>
  <si>
    <t>Compresses delivery through parallel design, early procurement and acceleration premium.</t>
  </si>
  <si>
    <t>Use only where time value exceeds cost and interface risk.</t>
  </si>
  <si>
    <t>Cheaper</t>
  </si>
  <si>
    <t>Reduces first cost through value engineering and tighter scope but transfers risk into delivery.</t>
  </si>
  <si>
    <t>Use only if capex pressure dominates and residual risk is accepted.</t>
  </si>
  <si>
    <t>Lower Risk</t>
  </si>
  <si>
    <t>Low</t>
  </si>
  <si>
    <t>Adds surveys, assurance, buffers and procurement validation to improve confidence.</t>
  </si>
  <si>
    <t>Recommended where certainty matters more than lowest first cost.</t>
  </si>
  <si>
    <t>Premium</t>
  </si>
  <si>
    <t>Strengthens suppliers, resilience, design maturity and governance for flagship delivery.</t>
  </si>
  <si>
    <t>Use for mission-critical, reputational or flagship programmes.</t>
  </si>
  <si>
    <t>Investor</t>
  </si>
  <si>
    <t>Frames the programme around capital discipline, risk transparency and investment committee challenge.</t>
  </si>
  <si>
    <t>Use for sponsor, lender, partner or IC review.</t>
  </si>
  <si>
    <t>Survival</t>
  </si>
  <si>
    <t>Minimum viable scope and warning-heavy commercial stress case with high residual risk.</t>
  </si>
  <si>
    <t>Use as a stress case only, not as the preferred baseline.</t>
  </si>
  <si>
    <t>SELECTED CLASS COST ESTIMATE — CLASS 3 — BASE SCENARIO</t>
  </si>
  <si>
    <t>CBS</t>
  </si>
  <si>
    <t>Description</t>
  </si>
  <si>
    <t>Type</t>
  </si>
  <si>
    <t>Basis</t>
  </si>
  <si>
    <t>P10 BN</t>
  </si>
  <si>
    <t>Most Likely / P50 BN</t>
  </si>
  <si>
    <t>P80 BN</t>
  </si>
  <si>
    <t>P90 BN</t>
  </si>
  <si>
    <t>% of P50</t>
  </si>
  <si>
    <t>Challenge Question</t>
  </si>
  <si>
    <t>01.01</t>
  </si>
  <si>
    <t>Site Preparation / Enabling</t>
  </si>
  <si>
    <t>Direct</t>
  </si>
  <si>
    <t>Demolition, enabling, logistics and access</t>
  </si>
  <si>
    <t>What evidence supports Site Preparation / Enabling at $339M?</t>
  </si>
  <si>
    <t>01.02</t>
  </si>
  <si>
    <t>Substructure / Foundations</t>
  </si>
  <si>
    <t>Piling, groundworks, retaining and foundations</t>
  </si>
  <si>
    <t>What evidence supports Substructure / Foundations at $451M?</t>
  </si>
  <si>
    <t>01.03</t>
  </si>
  <si>
    <t>Superstructure / Civil Works</t>
  </si>
  <si>
    <t>Frame, civils, primary structures</t>
  </si>
  <si>
    <t>What evidence supports Superstructure / Civil Works at $790M?</t>
  </si>
  <si>
    <t>01.04</t>
  </si>
  <si>
    <t>MEP / Systems / Utilities</t>
  </si>
  <si>
    <t>Mechanical, electrical, controls and utilities</t>
  </si>
  <si>
    <t>What evidence supports MEP / Systems / Utilities at $790M?</t>
  </si>
  <si>
    <t>01.05</t>
  </si>
  <si>
    <t>Specialist Equipment / Fit-Out</t>
  </si>
  <si>
    <t>Permanent equipment and specialist fit-out</t>
  </si>
  <si>
    <t>What evidence supports Specialist Equipment / Fit-Out at $677M?</t>
  </si>
  <si>
    <t>01.06</t>
  </si>
  <si>
    <t>Data Halls / White Space</t>
  </si>
  <si>
    <t>Server halls, fit-out and critical rooms</t>
  </si>
  <si>
    <t>What evidence supports Data Halls / White Space at $734M?</t>
  </si>
  <si>
    <t>01.07</t>
  </si>
  <si>
    <t>Power Train / Substations</t>
  </si>
  <si>
    <t>HV/MV gear, UPS, generators and substations</t>
  </si>
  <si>
    <t>What evidence supports Power Train / Substations at $903M?</t>
  </si>
  <si>
    <t>01.08</t>
  </si>
  <si>
    <t>Cooling Systems</t>
  </si>
  <si>
    <t>Chillers, heat rejection, CRAH/CRAC, water systems</t>
  </si>
  <si>
    <t>What evidence supports Cooling Systems at $677M?</t>
  </si>
  <si>
    <t>01.09</t>
  </si>
  <si>
    <t>Direct Labour</t>
  </si>
  <si>
    <t>Productivity, supervision and trade labour</t>
  </si>
  <si>
    <t>What evidence supports Direct Labour at $508M?</t>
  </si>
  <si>
    <t>01.10</t>
  </si>
  <si>
    <t>Direct Materials</t>
  </si>
  <si>
    <t>Concrete, steel, envelope, MEP materials</t>
  </si>
  <si>
    <t>What evidence supports Direct Materials at $564M?</t>
  </si>
  <si>
    <t>01.11</t>
  </si>
  <si>
    <t>Plant / Equipment</t>
  </si>
  <si>
    <t>Cranes, heavy plant and site equipment</t>
  </si>
  <si>
    <t>What evidence supports Plant / Equipment at $226M?</t>
  </si>
  <si>
    <t>02.01</t>
  </si>
  <si>
    <t>General Conditions / Prelims</t>
  </si>
  <si>
    <t>Indirect</t>
  </si>
  <si>
    <t>Site management, safety, offices and temporary services</t>
  </si>
  <si>
    <t>What evidence supports General Conditions / Prelims at $395M?</t>
  </si>
  <si>
    <t>02.02</t>
  </si>
  <si>
    <t>Design / Professional Fees</t>
  </si>
  <si>
    <t>Design, QS, controls, assurance and consultants</t>
  </si>
  <si>
    <t>What evidence supports Design / Professional Fees at $395M?</t>
  </si>
  <si>
    <t>02.03</t>
  </si>
  <si>
    <t>Permits / Insurance / Bonds</t>
  </si>
  <si>
    <t>Permits, inspections, legal, bonds and insurance</t>
  </si>
  <si>
    <t>What evidence supports Permits / Insurance / Bonds at $169M?</t>
  </si>
  <si>
    <t>03.01</t>
  </si>
  <si>
    <t>QCRA Contingency</t>
  </si>
  <si>
    <t>Reserve</t>
  </si>
  <si>
    <t>Known-unknown risk allowance</t>
  </si>
  <si>
    <t>What evidence supports QCRA Contingency at $339M?</t>
  </si>
  <si>
    <t>03.02</t>
  </si>
  <si>
    <t>Management Reserve</t>
  </si>
  <si>
    <t>Sponsor-held reserve</t>
  </si>
  <si>
    <t>What evidence supports Management Reserve at $169M?</t>
  </si>
  <si>
    <t>ALL ESTIMATE CLASS LEVELS — CLASS 1 TO 5</t>
  </si>
  <si>
    <t>Class</t>
  </si>
  <si>
    <t>Class Name</t>
  </si>
  <si>
    <t>P50 BN</t>
  </si>
  <si>
    <t>Maturity / Use</t>
  </si>
  <si>
    <t>Class 1 Definitive</t>
  </si>
  <si>
    <t>Class 2 Control</t>
  </si>
  <si>
    <t>Class 3 Budget</t>
  </si>
  <si>
    <t>Class 4 Feasibility</t>
  </si>
  <si>
    <t>Class 5 Concept</t>
  </si>
  <si>
    <t>FULL RISK REGISTER — CAUSE / EVENT / IMPACT / MITIGATION / QUANTIFIED</t>
  </si>
  <si>
    <t>ID</t>
  </si>
  <si>
    <t>Category</t>
  </si>
  <si>
    <t>Cause</t>
  </si>
  <si>
    <t>Event</t>
  </si>
  <si>
    <t>Impact</t>
  </si>
  <si>
    <t>Owner</t>
  </si>
  <si>
    <t>Mitigation</t>
  </si>
  <si>
    <t>Trigger</t>
  </si>
  <si>
    <t>Probability %</t>
  </si>
  <si>
    <t>Cost O BN</t>
  </si>
  <si>
    <t>Cost ML BN</t>
  </si>
  <si>
    <t>Cost P BN</t>
  </si>
  <si>
    <t>Schedule O Days</t>
  </si>
  <si>
    <t>Schedule ML Days</t>
  </si>
  <si>
    <t>Schedule P Days</t>
  </si>
  <si>
    <t>Cost EMV BN</t>
  </si>
  <si>
    <t>Schedule EMV Days</t>
  </si>
  <si>
    <t>Status</t>
  </si>
  <si>
    <t>R-015</t>
  </si>
  <si>
    <t>Sector</t>
  </si>
  <si>
    <t>Funding / approval gate delay</t>
  </si>
  <si>
    <t>Investment approvals or staged funding gates not aligned with procurement</t>
  </si>
  <si>
    <t>Capital release is delayed</t>
  </si>
  <si>
    <t>Procurement missed windows and schedule slippage</t>
  </si>
  <si>
    <t>Sponsor</t>
  </si>
  <si>
    <t>Approval roadmap and early board papers</t>
  </si>
  <si>
    <t>Approval date slips</t>
  </si>
  <si>
    <t>Open</t>
  </si>
  <si>
    <t>R-022</t>
  </si>
  <si>
    <t>Regulatory assurance delay</t>
  </si>
  <si>
    <t>Regulator or authority review cycle not fully allowed</t>
  </si>
  <si>
    <t>Approval takes longer than baseline</t>
  </si>
  <si>
    <t>Critical path delay and extra assurance cost</t>
  </si>
  <si>
    <t>Consents Lead</t>
  </si>
  <si>
    <t>Regulatory roadmap and early engagement</t>
  </si>
  <si>
    <t>Submission returned</t>
  </si>
  <si>
    <t>R-023</t>
  </si>
  <si>
    <t>Procurement strategy misalignment</t>
  </si>
  <si>
    <t>Package strategy does not match market capacity or risk transfer</t>
  </si>
  <si>
    <t>Tenders return above budget or fail</t>
  </si>
  <si>
    <t>Retendering, cost growth and schedule slip</t>
  </si>
  <si>
    <t>Commercial Lead</t>
  </si>
  <si>
    <t>Market sounding and package strategy review</t>
  </si>
  <si>
    <t>Low bidder response</t>
  </si>
  <si>
    <t>R-005</t>
  </si>
  <si>
    <t>Procurement</t>
  </si>
  <si>
    <t>Supply chain delay</t>
  </si>
  <si>
    <t>Long-lead equipment, constrained suppliers or late procurement release</t>
  </si>
  <si>
    <t>Supplier promise dates move right</t>
  </si>
  <si>
    <t>Delayed installation, critical path movement and acceleration cost</t>
  </si>
  <si>
    <t>Procurement Lead</t>
  </si>
  <si>
    <t>Alternate suppliers, early orders, expediting, framework options</t>
  </si>
  <si>
    <t>Supplier promise date slips</t>
  </si>
  <si>
    <t>R-001</t>
  </si>
  <si>
    <t>Scope</t>
  </si>
  <si>
    <t>Scope growth</t>
  </si>
  <si>
    <t>Ambiguous requirements, immature scope freeze and late stakeholder changes</t>
  </si>
  <si>
    <t>Approved scope expands after estimate freeze</t>
  </si>
  <si>
    <t>Additional quantities, redesign, rework, procurement churn and board contingency drawdown</t>
  </si>
  <si>
    <t>Project Director</t>
  </si>
  <si>
    <t>Freeze scope baseline, change board, value gates, client decision log</t>
  </si>
  <si>
    <t>Scope change rate exceeds 2% of package value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</si>
  <si>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</si>
  <si>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</si>
  <si>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</si>
  <si>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</si>
  <si>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</si>
  <si>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Decision log, change board and stakeholder gates</t>
  </si>
  <si>
    <t>Late decision count increases</t>
  </si>
  <si>
    <t>R-004</t>
  </si>
  <si>
    <t>Technical</t>
  </si>
  <si>
    <t>Design maturity gap</t>
  </si>
  <si>
    <t>Estimate is based on immature design, incomplete surveys or unresolved interfaces</t>
  </si>
  <si>
    <t>Design basis changes during detailed design</t>
  </si>
  <si>
    <t>Cost growth, quantity movement, rework and schedule resequencing</t>
  </si>
  <si>
    <t>Design Manager</t>
  </si>
  <si>
    <t>Design maturity gates, independent review, assumption register</t>
  </si>
  <si>
    <t>Design deliverables miss maturity gate</t>
  </si>
  <si>
    <t>R-D01</t>
  </si>
  <si>
    <t>Utilities</t>
  </si>
  <si>
    <t>Grid connection delay</t>
  </si>
  <si>
    <t>Utility agreement, substation scope or energisation pathway not secured</t>
  </si>
  <si>
    <t>Power connection or energisation milestone slips</t>
  </si>
  <si>
    <t>Critical path delay, temporary power cost, phased opening risk and revenue deferral</t>
  </si>
  <si>
    <t>Utilities Lead</t>
  </si>
  <si>
    <t>Secure grid agreement, temporary power strategy, early equipment orders</t>
  </si>
  <si>
    <t>Grid agreement unsigned at gate</t>
  </si>
  <si>
    <t>R-002</t>
  </si>
  <si>
    <t>Commercial</t>
  </si>
  <si>
    <t>Market escalation</t>
  </si>
  <si>
    <t>Supplier market tightness, inflation, FX and long procurement window</t>
  </si>
  <si>
    <t>Rates exceed assumed escalation profile</t>
  </si>
  <si>
    <t>P50 cost becomes understated; commercial approvals or procurement strategy may need reset</t>
  </si>
  <si>
    <t>Early procurement, index-linked allowances, market testing, FX strategy</t>
  </si>
  <si>
    <t>Index exceeds allowance by 3%</t>
  </si>
  <si>
    <t>R-008</t>
  </si>
  <si>
    <t>Integration</t>
  </si>
  <si>
    <t>Interface misalignment</t>
  </si>
  <si>
    <t>Multiple contractors, unclear interface ownership or late design coordination</t>
  </si>
  <si>
    <t>Package interfaces do not align during installation/integration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</si>
  <si>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</si>
  <si>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</si>
  <si>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</si>
  <si>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</si>
  <si>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R-021</t>
  </si>
  <si>
    <t>Utilities diversion / enabling risk</t>
  </si>
  <si>
    <t>Unknown utilities, access or enabling works underestimated</t>
  </si>
  <si>
    <t>Enabling works expand or delay critical start</t>
  </si>
  <si>
    <t>Cost growth, access delay and resequencing</t>
  </si>
  <si>
    <t>Enabling Works Lead</t>
  </si>
  <si>
    <t>Surveys, trial pits and early utility agreements</t>
  </si>
  <si>
    <t>Unknown utilities found</t>
  </si>
  <si>
    <t>R-012</t>
  </si>
  <si>
    <t>Cyber / controls integration</t>
  </si>
  <si>
    <t>Operational technology and control systems interfaces immature</t>
  </si>
  <si>
    <t>Controls integration fails testing</t>
  </si>
  <si>
    <t>Commissioning delay, resilience issue and operational risk</t>
  </si>
  <si>
    <t>Systems Lead</t>
  </si>
  <si>
    <t>Early cyber review, FAT/SAT plan, integration lab</t>
  </si>
  <si>
    <t>Controls defect trend increases</t>
  </si>
  <si>
    <t>R-006</t>
  </si>
  <si>
    <t>Delivery</t>
  </si>
  <si>
    <t>Productivity underperformance</t>
  </si>
  <si>
    <t>Access constraints, poor sequencing, labour scarcity or learning curve</t>
  </si>
  <si>
    <t>Actual production rates underperform plan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</si>
  <si>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</si>
  <si>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</si>
  <si>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</si>
  <si>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</si>
  <si>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</si>
  <si>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</si>
  <si>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</si>
  <si>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</si>
  <si>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</si>
  <si>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</si>
  <si>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</si>
  <si>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</si>
  <si>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R-020</t>
  </si>
  <si>
    <t>Design change after procurement</t>
  </si>
  <si>
    <t>Procurement released before design maturity is sufficient</t>
  </si>
  <si>
    <t>Vendor packages require change</t>
  </si>
  <si>
    <t>Variation cost, rework and programme delay</t>
  </si>
  <si>
    <t>Design freeze gates and change impact board</t>
  </si>
  <si>
    <t>IFC maturity below gate</t>
  </si>
  <si>
    <t>R-007</t>
  </si>
  <si>
    <t>Handover</t>
  </si>
  <si>
    <t>Commissioning delay</t>
  </si>
  <si>
    <t>Incomplete readiness, software integration issues or defects during testing</t>
  </si>
  <si>
    <t>Systems fail tests or require repeated commissioning cycles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</si>
  <si>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</si>
  <si>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</si>
  <si>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</si>
  <si>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</si>
  <si>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R-D02</t>
  </si>
  <si>
    <t>Cooling system capacity</t>
  </si>
  <si>
    <t>Thermal basis, water availability or cooling vendor performance uncertain</t>
  </si>
  <si>
    <t>Cooling design fails capacity, redundancy or commissioning test</t>
  </si>
  <si>
    <t>Re-design, commissioning delay, lower IT load and resilience concern</t>
  </si>
  <si>
    <t>MEP Lead</t>
  </si>
  <si>
    <t>Thermal modelling, supplier validation, early performance test</t>
  </si>
  <si>
    <t>Cooling performance test fails</t>
  </si>
  <si>
    <t>R-D04</t>
  </si>
  <si>
    <t>Generator / UPS lead time</t>
  </si>
  <si>
    <t>Critical power equipment supply constrained</t>
  </si>
  <si>
    <t>Power train delivery slips</t>
  </si>
  <si>
    <t>Critical path movement and acceleration premium</t>
  </si>
  <si>
    <t>Early vendor reservation and dual-source strategy</t>
  </si>
  <si>
    <t>Vendor delivery warning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</si>
  <si>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</si>
  <si>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</si>
  <si>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</si>
  <si>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</si>
  <si>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</si>
  <si>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</si>
  <si>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</si>
  <si>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</si>
  <si>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R-003</t>
  </si>
  <si>
    <t>Regulatory</t>
  </si>
  <si>
    <t>Permits / approvals delay</t>
  </si>
  <si>
    <t>Authority process, stakeholder objections or incomplete submissions</t>
  </si>
  <si>
    <t>Consent milestone slips beyond baseline</t>
  </si>
  <si>
    <t>Critical path delay, extended preliminaries and potential redesign conditions</t>
  </si>
  <si>
    <t>Authority plan, consent tracker, early submissions, stakeholder map</t>
  </si>
  <si>
    <t>Consent milestone slips by 30 days</t>
  </si>
  <si>
    <t>R-019</t>
  </si>
  <si>
    <t>Supply chain insolvency</t>
  </si>
  <si>
    <t>Tier 2/3 financial health is unknown or weak</t>
  </si>
  <si>
    <t>Critical supplier fails or cannot perform</t>
  </si>
  <si>
    <t>Replacement cost, procurement delay and claims exposure</t>
  </si>
  <si>
    <t>Financial checks, dual sourcing, step-in rights</t>
  </si>
  <si>
    <t>Supplier credit alert</t>
  </si>
  <si>
    <t>R-D03</t>
  </si>
  <si>
    <t>Liquid cooling vendor maturity</t>
  </si>
  <si>
    <t>Cooling technology or supplier capacity immature</t>
  </si>
  <si>
    <t>Vendor solution underperforms acceptance tests</t>
  </si>
  <si>
    <t>Capacity derate, redesign and delay</t>
  </si>
  <si>
    <t>Prototype, vendor qualification and performance guarantee</t>
  </si>
  <si>
    <t>Cooling FAT failed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</si>
  <si>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</si>
  <si>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</si>
  <si>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</si>
  <si>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</si>
  <si>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</si>
  <si>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 and labour strategy</t>
  </si>
  <si>
    <t>Resource histogram red flag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</si>
  <si>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</si>
  <si>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</si>
  <si>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</si>
  <si>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</si>
  <si>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</si>
  <si>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</si>
  <si>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</si>
  <si>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</si>
  <si>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</si>
  <si>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</si>
  <si>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</si>
  <si>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</si>
  <si>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</si>
  <si>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</si>
  <si>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R-025</t>
  </si>
  <si>
    <t>Benefits realisation risk</t>
  </si>
  <si>
    <t>Commercial benefits rely on optimistic demand or ramp-up</t>
  </si>
  <si>
    <t>Ramp-up underperforms plan</t>
  </si>
  <si>
    <t>Revenue / value case weakens</t>
  </si>
  <si>
    <t>Benefits model validation and ramp-up sensitivity</t>
  </si>
  <si>
    <t>Demand evidence weak</t>
  </si>
  <si>
    <t>R-009</t>
  </si>
  <si>
    <t>Commercial claims escalation</t>
  </si>
  <si>
    <t>Contract ambiguity, late changes and fragmented accountability</t>
  </si>
  <si>
    <t>Claims submitted above allowance</t>
  </si>
  <si>
    <t>Commercial pressure, management distraction and increased outturn cost</t>
  </si>
  <si>
    <t>Tight change control and dispute avoidance board</t>
  </si>
  <si>
    <t>Claim volume exceeds baseline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</si>
  <si>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</si>
  <si>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</si>
  <si>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</si>
  <si>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</si>
  <si>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</si>
  <si>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ORAT</t>
  </si>
  <si>
    <t>Readiness score below threshold</t>
  </si>
  <si>
    <t>R-024</t>
  </si>
  <si>
    <t>Operational readiness shortfall</t>
  </si>
  <si>
    <t>Operating model, training or maintenance strategy immature</t>
  </si>
  <si>
    <t>Asset cannot enter service as planned</t>
  </si>
  <si>
    <t>Delayed opening and benefit deferral</t>
  </si>
  <si>
    <t>Operations Lead</t>
  </si>
  <si>
    <t>ORAT/readiness plan and service transition gate</t>
  </si>
  <si>
    <t>Readiness gate failed</t>
  </si>
  <si>
    <t>QCRA + QSRA CURVES — SEPARATE DISTRIBUTIONS</t>
  </si>
  <si>
    <t>Percentile</t>
  </si>
  <si>
    <t>QCRA Cost BN</t>
  </si>
  <si>
    <t>QSRA Months</t>
  </si>
  <si>
    <t>TORNADO DRIVERS — QCRA COST AND QSRA SCHEDULE SEPARATED</t>
  </si>
  <si>
    <t>Rank</t>
  </si>
  <si>
    <t>QCRA Cost Driver</t>
  </si>
  <si>
    <t>QSRA Schedule Driver</t>
  </si>
  <si>
    <t>ALL SCHEDULE LEVELS — LEVEL 1 TO 5</t>
  </si>
  <si>
    <t>Level</t>
  </si>
  <si>
    <t>Activity ID</t>
  </si>
  <si>
    <t>Phase</t>
  </si>
  <si>
    <t>Activity</t>
  </si>
  <si>
    <t>Predecessor</t>
  </si>
  <si>
    <t>Duration Months</t>
  </si>
  <si>
    <t>Critical</t>
  </si>
  <si>
    <t>M100</t>
  </si>
  <si>
    <t>Milestone</t>
  </si>
  <si>
    <t>Investment approval</t>
  </si>
  <si>
    <t>No</t>
  </si>
  <si>
    <t>Duration derived from sector schedule model, selected schedule level and scenario compression/buffer logic.</t>
  </si>
  <si>
    <t>M200</t>
  </si>
  <si>
    <t>Design complete</t>
  </si>
  <si>
    <t>M300</t>
  </si>
  <si>
    <t>Procurement complete</t>
  </si>
  <si>
    <t>M400</t>
  </si>
  <si>
    <t>Delivery complete</t>
  </si>
  <si>
    <t>M500</t>
  </si>
  <si>
    <t>Ready for operations</t>
  </si>
  <si>
    <t>M600</t>
  </si>
  <si>
    <t>A1000</t>
  </si>
  <si>
    <t>Governance</t>
  </si>
  <si>
    <t>Project initiation / controls setup</t>
  </si>
  <si>
    <t>A1100</t>
  </si>
  <si>
    <t>Business Case</t>
  </si>
  <si>
    <t>Strategic brief, funding and approval</t>
  </si>
  <si>
    <t>A1200</t>
  </si>
  <si>
    <t>Requirements definition and scope freeze</t>
  </si>
  <si>
    <t>A1300</t>
  </si>
  <si>
    <t>Design</t>
  </si>
  <si>
    <t>Concept / reference architecture</t>
  </si>
  <si>
    <t>A1400</t>
  </si>
  <si>
    <t>Consents</t>
  </si>
  <si>
    <t>Planning, regulatory and stakeholder approvals</t>
  </si>
  <si>
    <t>Yes</t>
  </si>
  <si>
    <t>A1500</t>
  </si>
  <si>
    <t>Procurement strategy and tender packaging</t>
  </si>
  <si>
    <t>A1600</t>
  </si>
  <si>
    <t>Detailed design / IFC development</t>
  </si>
  <si>
    <t>A1700</t>
  </si>
  <si>
    <t>Long-lead procurement</t>
  </si>
  <si>
    <t>A1800</t>
  </si>
  <si>
    <t>Enabling</t>
  </si>
  <si>
    <t>Site / launch integration readiness</t>
  </si>
  <si>
    <t>A1400;A1500</t>
  </si>
  <si>
    <t>A1900</t>
  </si>
  <si>
    <t>Main construction / fabrication / assembly</t>
  </si>
  <si>
    <t>A1600;A1700;A1800</t>
  </si>
  <si>
    <t>A2000</t>
  </si>
  <si>
    <t>Systems integration and testing</t>
  </si>
  <si>
    <t>A2100</t>
  </si>
  <si>
    <t>Commissioning, operations readiness and closeout</t>
  </si>
  <si>
    <t>P1000</t>
  </si>
  <si>
    <t>Package</t>
  </si>
  <si>
    <t>Grid connection</t>
  </si>
  <si>
    <t>P2000</t>
  </si>
  <si>
    <t>Data halls</t>
  </si>
  <si>
    <t>P3000</t>
  </si>
  <si>
    <t>Cooling plant</t>
  </si>
  <si>
    <t>P4000</t>
  </si>
  <si>
    <t>Power train</t>
  </si>
  <si>
    <t>P5000</t>
  </si>
  <si>
    <t>Controls and commissioning</t>
  </si>
  <si>
    <t>P1100</t>
  </si>
  <si>
    <t>Grid connection - mobilise / method</t>
  </si>
  <si>
    <t>P1200</t>
  </si>
  <si>
    <t>Grid connection - execute works</t>
  </si>
  <si>
    <t>P1300</t>
  </si>
  <si>
    <t>Grid connection - inspect / closeout</t>
  </si>
  <si>
    <t>P2100</t>
  </si>
  <si>
    <t>Data halls - mobilise / method</t>
  </si>
  <si>
    <t>P2200</t>
  </si>
  <si>
    <t>Data halls - execute works</t>
  </si>
  <si>
    <t>P2300</t>
  </si>
  <si>
    <t>Data halls - inspect / closeout</t>
  </si>
  <si>
    <t>P3100</t>
  </si>
  <si>
    <t>Cooling plant - mobilise / method</t>
  </si>
  <si>
    <t>P3200</t>
  </si>
  <si>
    <t>Cooling plant - execute works</t>
  </si>
  <si>
    <t>P3300</t>
  </si>
  <si>
    <t>Cooling plant - inspect / closeout</t>
  </si>
  <si>
    <t>P4100</t>
  </si>
  <si>
    <t>Power train - mobilise / method</t>
  </si>
  <si>
    <t>P4200</t>
  </si>
  <si>
    <t>Power train - execute works</t>
  </si>
  <si>
    <t>P4300</t>
  </si>
  <si>
    <t>Power train - inspect / closeout</t>
  </si>
  <si>
    <t>P5100</t>
  </si>
  <si>
    <t>Controls and commissioning - mobilise / method</t>
  </si>
  <si>
    <t>P5200</t>
  </si>
  <si>
    <t>Controls and commissioning - execute works</t>
  </si>
  <si>
    <t>P5300</t>
  </si>
  <si>
    <t>Controls and commissioning - inspect / closeout</t>
  </si>
  <si>
    <t>BASIS, LIMITATIONS AND AUDIT</t>
  </si>
  <si>
    <t>Field</t>
  </si>
  <si>
    <t>Value</t>
  </si>
  <si>
    <t>Project</t>
  </si>
  <si>
    <t>AI Data Centre Campus</t>
  </si>
  <si>
    <t>Subsector</t>
  </si>
  <si>
    <t>Digital Infrastructure / Hyperscale Data Centre</t>
  </si>
  <si>
    <t>Location</t>
  </si>
  <si>
    <t>Saudi Arabia / GCC</t>
  </si>
  <si>
    <t>Mode</t>
  </si>
  <si>
    <t>Earth</t>
  </si>
  <si>
    <t>Estimate class</t>
  </si>
  <si>
    <t>Schedule level</t>
  </si>
  <si>
    <t>Generated</t>
  </si>
  <si>
    <t>2026-05-05 18:08 UTC</t>
  </si>
  <si>
    <t>Model version</t>
  </si>
  <si>
    <t>v56 Global Standard</t>
  </si>
  <si>
    <t>Limitation</t>
  </si>
  <si>
    <t>First-pass project controls intelligence. Validate against project-specific tender, survey, design and schedule evidence before capital commitment.</t>
  </si>
  <si>
    <t>Methodology</t>
  </si>
  <si>
    <t>Cost is parametric/benchmark/factor-based; QCRA and QSRA are separated; risks are cause-event-impact structured; scenarios change cost, schedule, risk and confidence.</t>
  </si>
  <si>
    <t>Output standard</t>
  </si>
  <si>
    <t>PDF/PPTX excluded from primary output pack to avoid weak or unreadable exports. Excel, schedule and audit outputs are the source of truth.</t>
  </si>
</sst>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%"/>
  </numFmts>
  <fonts count="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5B6775"/>
      <name val="Calibri"/>
      <family val="2"/>
      <scheme val="minor"/>
    </font>
    <font>
      <b/>
      <sz val="14"/>
      <color rgb="FF0B1F33"/>
      <name val="Calibri"/>
      <family val="2"/>
      <scheme val="minor"/>
    </font>
    <font>
      <b/>
      <sz val="18"/>
      <color rgb="FF0B1F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EAF6FA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5" fillId="5" borderId="2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Scenario Cost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P50 Cost BN</c:v>
          </c:tx>
          <c:spPr>
            <a:solidFill>
              <a:srgbClr val="0070C0"/>
            </a:solidFill>
          </c:spPr>
          <c:cat>
            <c:strRef>
              <c:f>'01 Scenario Comparison'!$A$6:$A$12</c:f>
              <c:strCache>
                <c:ptCount val="7"/>
                <c:pt idx="0">
                  <c:v>Base</c:v>
                </c:pt>
                <c:pt idx="1">
                  <c:v>Faster</c:v>
                </c:pt>
                <c:pt idx="2">
                  <c:v>Cheaper</c:v>
                </c:pt>
                <c:pt idx="3">
                  <c:v>Lower Risk</c:v>
                </c:pt>
                <c:pt idx="4">
                  <c:v>Premium</c:v>
                </c:pt>
                <c:pt idx="5">
                  <c:v>Investor</c:v>
                </c:pt>
                <c:pt idx="6">
                  <c:v>Survival</c:v>
                </c:pt>
              </c:strCache>
            </c:strRef>
          </c:cat>
          <c:val>
            <c:numRef>
              <c:f>'01 Scenario Comparison'!$B$6:$B$12</c:f>
              <c:numCache>
                <c:formatCode>General</c:formatCode>
                <c:ptCount val="7"/>
                <c:pt idx="0">
                  <c:v>5.6</c:v>
                </c:pt>
                <c:pt idx="1">
                  <c:v>6.3</c:v>
                </c:pt>
                <c:pt idx="2">
                  <c:v>5</c:v>
                </c:pt>
                <c:pt idx="3">
                  <c:v>6.2</c:v>
                </c:pt>
                <c:pt idx="4">
                  <c:v>6.5</c:v>
                </c:pt>
                <c:pt idx="5">
                  <c:v>5.5</c:v>
                </c:pt>
                <c:pt idx="6">
                  <c:v>4.4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Scenario Schedule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Schedule Months</c:v>
          </c:tx>
          <c:spPr>
            <a:ln w="28575">
              <a:solidFill>
                <a:srgbClr val="00A6C8"/>
              </a:solidFill>
            </a:ln>
          </c:spPr>
          <c:marker>
            <c:symbol val="none"/>
          </c:marker>
          <c:cat>
            <c:strRef>
              <c:f>'01 Scenario Comparison'!$A$6:$A$12</c:f>
              <c:strCache>
                <c:ptCount val="7"/>
                <c:pt idx="0">
                  <c:v>Base</c:v>
                </c:pt>
                <c:pt idx="1">
                  <c:v>Faster</c:v>
                </c:pt>
                <c:pt idx="2">
                  <c:v>Cheaper</c:v>
                </c:pt>
                <c:pt idx="3">
                  <c:v>Lower Risk</c:v>
                </c:pt>
                <c:pt idx="4">
                  <c:v>Premium</c:v>
                </c:pt>
                <c:pt idx="5">
                  <c:v>Investor</c:v>
                </c:pt>
                <c:pt idx="6">
                  <c:v>Survival</c:v>
                </c:pt>
              </c:strCache>
            </c:strRef>
          </c:cat>
          <c:val>
            <c:numRef>
              <c:f>'01 Scenario Comparison'!$D$6:$D$12</c:f>
              <c:numCache>
                <c:formatCode>General</c:formatCode>
                <c:ptCount val="7"/>
                <c:pt idx="0">
                  <c:v>48</c:v>
                </c:pt>
                <c:pt idx="1">
                  <c:v>39</c:v>
                </c:pt>
                <c:pt idx="2">
                  <c:v>52</c:v>
                </c:pt>
                <c:pt idx="3">
                  <c:v>53</c:v>
                </c:pt>
                <c:pt idx="4">
                  <c:v>50</c:v>
                </c:pt>
                <c:pt idx="5">
                  <c:v>48</c:v>
                </c:pt>
                <c:pt idx="6">
                  <c:v>58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Selected Class Cost Build-Up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P50 BN</c:v>
          </c:tx>
          <c:spPr>
            <a:solidFill>
              <a:srgbClr val="0070C0"/>
            </a:solidFill>
          </c:spPr>
          <c:cat>
            <c:strRef>
              <c:f>'02 Cost Selected'!$B$6:$B$21</c:f>
              <c:strCache>
                <c:ptCount val="16"/>
                <c:pt idx="0">
                  <c:v>Site Preparation / Enabling</c:v>
                </c:pt>
                <c:pt idx="1">
                  <c:v>Substructure / Foundations</c:v>
                </c:pt>
                <c:pt idx="2">
                  <c:v>Superstructure / Civil Works</c:v>
                </c:pt>
                <c:pt idx="3">
                  <c:v>MEP / Systems / Utilities</c:v>
                </c:pt>
                <c:pt idx="4">
                  <c:v>Specialist Equipment / Fit-Out</c:v>
                </c:pt>
                <c:pt idx="5">
                  <c:v>Data Halls / White Space</c:v>
                </c:pt>
                <c:pt idx="6">
                  <c:v>Power Train / Substations</c:v>
                </c:pt>
                <c:pt idx="7">
                  <c:v>Cooling Systems</c:v>
                </c:pt>
                <c:pt idx="8">
                  <c:v>Direct Labour</c:v>
                </c:pt>
                <c:pt idx="9">
                  <c:v>Direct Materials</c:v>
                </c:pt>
                <c:pt idx="10">
                  <c:v>Plant / Equipment</c:v>
                </c:pt>
                <c:pt idx="11">
                  <c:v>General Conditions / Prelims</c:v>
                </c:pt>
                <c:pt idx="12">
                  <c:v>Design / Professional Fees</c:v>
                </c:pt>
                <c:pt idx="13">
                  <c:v>Permits / Insurance / Bonds</c:v>
                </c:pt>
                <c:pt idx="14">
                  <c:v>QCRA Contingency</c:v>
                </c:pt>
                <c:pt idx="15">
                  <c:v>Management Reserve</c:v>
                </c:pt>
              </c:strCache>
            </c:strRef>
          </c:cat>
          <c:val>
            <c:numRef>
              <c:f>'02 Cost Selected'!$F$6:$F$21</c:f>
              <c:numCache>
                <c:formatCode>General</c:formatCode>
                <c:ptCount val="16"/>
                <c:pt idx="0">
                  <c:v>0.339</c:v>
                </c:pt>
                <c:pt idx="1">
                  <c:v>0.451</c:v>
                </c:pt>
                <c:pt idx="2">
                  <c:v>0.79</c:v>
                </c:pt>
                <c:pt idx="3">
                  <c:v>0.79</c:v>
                </c:pt>
                <c:pt idx="4">
                  <c:v>0.677</c:v>
                </c:pt>
                <c:pt idx="5">
                  <c:v>0.734</c:v>
                </c:pt>
                <c:pt idx="6">
                  <c:v>0.903</c:v>
                </c:pt>
                <c:pt idx="7">
                  <c:v>0.677</c:v>
                </c:pt>
                <c:pt idx="8">
                  <c:v>0.508</c:v>
                </c:pt>
                <c:pt idx="9">
                  <c:v>0.5639999999999999</c:v>
                </c:pt>
                <c:pt idx="10">
                  <c:v>0.226</c:v>
                </c:pt>
                <c:pt idx="11">
                  <c:v>0.395</c:v>
                </c:pt>
                <c:pt idx="12">
                  <c:v>0.395</c:v>
                </c:pt>
                <c:pt idx="13">
                  <c:v>0.169</c:v>
                </c:pt>
                <c:pt idx="14">
                  <c:v>0.339</c:v>
                </c:pt>
                <c:pt idx="15">
                  <c:v>0.169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S-Curve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QCRA Cost BN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'05 QCRA QSRA Curves'!$A$6:$A$19</c:f>
              <c:numCache>
                <c:formatCode>General</c:formatCode>
                <c:ptCount val="1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85</c:v>
                </c:pt>
                <c:pt idx="11">
                  <c:v>90</c:v>
                </c:pt>
                <c:pt idx="12">
                  <c:v>95</c:v>
                </c:pt>
                <c:pt idx="13">
                  <c:v>99</c:v>
                </c:pt>
              </c:numCache>
            </c:numRef>
          </c:cat>
          <c:val>
            <c:numRef>
              <c:f>'05 QCRA QSRA Curves'!$B$6:$B$19</c:f>
              <c:numCache>
                <c:formatCode>General</c:formatCode>
                <c:ptCount val="14"/>
                <c:pt idx="0">
                  <c:v>4.266</c:v>
                </c:pt>
                <c:pt idx="1">
                  <c:v>4.619</c:v>
                </c:pt>
                <c:pt idx="2">
                  <c:v>4.823</c:v>
                </c:pt>
                <c:pt idx="3">
                  <c:v>5.077</c:v>
                </c:pt>
                <c:pt idx="4">
                  <c:v>5.27</c:v>
                </c:pt>
                <c:pt idx="5">
                  <c:v>5.439</c:v>
                </c:pt>
                <c:pt idx="6">
                  <c:v>5.6</c:v>
                </c:pt>
                <c:pt idx="7">
                  <c:v>5.766</c:v>
                </c:pt>
                <c:pt idx="8">
                  <c:v>5.951</c:v>
                </c:pt>
                <c:pt idx="9">
                  <c:v>6.177</c:v>
                </c:pt>
                <c:pt idx="10">
                  <c:v>6.323</c:v>
                </c:pt>
                <c:pt idx="11">
                  <c:v>6.503</c:v>
                </c:pt>
                <c:pt idx="12">
                  <c:v>6.79</c:v>
                </c:pt>
                <c:pt idx="13">
                  <c:v>7.351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Duration S-Curve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QSRA Months</c:v>
          </c:tx>
          <c:spPr>
            <a:ln w="28575">
              <a:solidFill>
                <a:srgbClr val="00A6C8"/>
              </a:solidFill>
            </a:ln>
          </c:spPr>
          <c:marker>
            <c:symbol val="none"/>
          </c:marker>
          <c:cat>
            <c:numRef>
              <c:f>'05 QCRA QSRA Curves'!$A$6:$A$19</c:f>
              <c:numCache>
                <c:formatCode>General</c:formatCode>
                <c:ptCount val="1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85</c:v>
                </c:pt>
                <c:pt idx="11">
                  <c:v>90</c:v>
                </c:pt>
                <c:pt idx="12">
                  <c:v>95</c:v>
                </c:pt>
                <c:pt idx="13">
                  <c:v>99</c:v>
                </c:pt>
              </c:numCache>
            </c:numRef>
          </c:cat>
          <c:val>
            <c:numRef>
              <c:f>'05 QCRA QSRA Curves'!$C$6:$C$19</c:f>
              <c:numCache>
                <c:formatCode>General</c:formatCode>
                <c:ptCount val="14"/>
                <c:pt idx="0">
                  <c:v>42.03</c:v>
                </c:pt>
                <c:pt idx="1">
                  <c:v>43.69</c:v>
                </c:pt>
                <c:pt idx="2">
                  <c:v>44.62</c:v>
                </c:pt>
                <c:pt idx="3">
                  <c:v>45.75</c:v>
                </c:pt>
                <c:pt idx="4">
                  <c:v>46.6</c:v>
                </c:pt>
                <c:pt idx="5">
                  <c:v>47.32</c:v>
                </c:pt>
                <c:pt idx="6">
                  <c:v>48</c:v>
                </c:pt>
                <c:pt idx="7">
                  <c:v>48.69</c:v>
                </c:pt>
                <c:pt idx="8">
                  <c:v>49.45</c:v>
                </c:pt>
                <c:pt idx="9">
                  <c:v>50.36</c:v>
                </c:pt>
                <c:pt idx="10">
                  <c:v>50.93</c:v>
                </c:pt>
                <c:pt idx="11">
                  <c:v>51.64</c:v>
                </c:pt>
                <c:pt idx="12">
                  <c:v>52.74</c:v>
                </c:pt>
                <c:pt idx="13">
                  <c:v>54.82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QCRA EMV</c:v>
          </c:tx>
          <c:spPr>
            <a:solidFill>
              <a:srgbClr val="0070C0"/>
            </a:solidFill>
          </c:spPr>
          <c:cat>
            <c:strRef>
              <c:f>'06 Tornado Drivers'!$B$6:$B$20</c:f>
              <c:strCache>
                <c:ptCount val="15"/>
                <c:pt idx="0">
                  <c:v>Design maturity gap</c:v>
                </c:pt>
                <c:pt idx="1">
                  <c:v>Scope growth</c:v>
                </c:pt>
                <c:pt idx="2">
                  <c:v>Commissioning delay</c:v>
                </c:pt>
                <c:pt idx="3">
                  <c:v>Regulatory assurance delay</c:v>
                </c:pt>
                <c:pt idx="4">
                  <c:v>Market escalation</c:v>
                </c:pt>
                <c:pt idx="5">
                  <c:v>Interface misalignment</c:v>
                </c:pt>
                <c:pt idx="6">
                  <c:v>Supply chain delay</c:v>
                </c:pt>
                <c:pt idx="7">
                  <c:v>Grid connection delay</c:v>
                </c:pt>
                <c:pt idx="8">
                  <c:v>Cyber / controls integration</c:v>
                </c:pt>
                <c:pt idx="9">
                  <c:v>Funding / approval gate delay</c:v>
                </c:pt>
                <c:pt idx="10">
                  <c:v>Utilities diversion / enabling risk</c:v>
                </c:pt>
                <c:pt idx="11">
                  <c:v>Generator / UPS lead time</c:v>
                </c:pt>
                <c:pt idx="12">
                  <c:v>Productivity underperformance</c:v>
                </c:pt>
                <c:pt idx="13">
                  <c:v>Quality failure / rework</c:v>
                </c:pt>
                <c:pt idx="14">
                  <c:v>Design change after procurement</c:v>
                </c:pt>
              </c:strCache>
            </c:strRef>
          </c:cat>
          <c:val>
            <c:numRef>
              <c:f>'06 Tornado Drivers'!$D$6:$D$20</c:f>
              <c:numCache>
                <c:formatCode>General</c:formatCode>
                <c:ptCount val="15"/>
                <c:pt idx="0">
                  <c:v>0.068</c:v>
                </c:pt>
                <c:pt idx="1">
                  <c:v>0.064</c:v>
                </c:pt>
                <c:pt idx="2">
                  <c:v>0.058</c:v>
                </c:pt>
                <c:pt idx="3">
                  <c:v>0.056</c:v>
                </c:pt>
                <c:pt idx="4">
                  <c:v>0.056</c:v>
                </c:pt>
                <c:pt idx="5">
                  <c:v>0.052</c:v>
                </c:pt>
                <c:pt idx="6">
                  <c:v>0.05</c:v>
                </c:pt>
                <c:pt idx="7">
                  <c:v>0.05</c:v>
                </c:pt>
                <c:pt idx="8">
                  <c:v>0.043</c:v>
                </c:pt>
                <c:pt idx="9">
                  <c:v>0.042</c:v>
                </c:pt>
                <c:pt idx="10">
                  <c:v>0.041</c:v>
                </c:pt>
                <c:pt idx="11">
                  <c:v>0.037</c:v>
                </c:pt>
                <c:pt idx="12">
                  <c:v>0.034</c:v>
                </c:pt>
                <c:pt idx="13">
                  <c:v>0.031</c:v>
                </c:pt>
                <c:pt idx="14">
                  <c:v>0.029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Schedule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QSRA Days</c:v>
          </c:tx>
          <c:spPr>
            <a:solidFill>
              <a:srgbClr val="00A6C8"/>
            </a:solidFill>
          </c:spPr>
          <c:cat>
            <c:strRef>
              <c:f>'06 Tornado Drivers'!$I$6:$I$20</c:f>
              <c:strCache>
                <c:ptCount val="15"/>
                <c:pt idx="0">
                  <c:v>Funding / approval gate delay</c:v>
                </c:pt>
                <c:pt idx="1">
                  <c:v>Procurement strategy misalignment</c:v>
                </c:pt>
                <c:pt idx="2">
                  <c:v>Regulatory assurance delay</c:v>
                </c:pt>
                <c:pt idx="3">
                  <c:v>Stakeholder change</c:v>
                </c:pt>
                <c:pt idx="4">
                  <c:v>Supply chain delay</c:v>
                </c:pt>
                <c:pt idx="5">
                  <c:v>Interface misalignment</c:v>
                </c:pt>
                <c:pt idx="6">
                  <c:v>Utilities diversion / enabling risk</c:v>
                </c:pt>
                <c:pt idx="7">
                  <c:v>Weather / environmental disruption</c:v>
                </c:pt>
                <c:pt idx="8">
                  <c:v>Productivity underperformance</c:v>
                </c:pt>
                <c:pt idx="9">
                  <c:v>Cooling system capacity</c:v>
                </c:pt>
                <c:pt idx="10">
                  <c:v>Cyber / controls integration</c:v>
                </c:pt>
                <c:pt idx="11">
                  <c:v>Design change after procurement</c:v>
                </c:pt>
                <c:pt idx="12">
                  <c:v>Design maturity gap</c:v>
                </c:pt>
                <c:pt idx="13">
                  <c:v>Scope growth</c:v>
                </c:pt>
                <c:pt idx="14">
                  <c:v>Generator / UPS lead time</c:v>
                </c:pt>
              </c:strCache>
            </c:strRef>
          </c:cat>
          <c:val>
            <c:numRef>
              <c:f>'06 Tornado Drivers'!$K$6:$K$20</c:f>
              <c:numCache>
                <c:formatCode>General</c:formatCode>
                <c:ptCount val="15"/>
                <c:pt idx="0">
                  <c:v>26.1</c:v>
                </c:pt>
                <c:pt idx="1">
                  <c:v>26.1</c:v>
                </c:pt>
                <c:pt idx="2">
                  <c:v>20.7</c:v>
                </c:pt>
                <c:pt idx="3">
                  <c:v>20.7</c:v>
                </c:pt>
                <c:pt idx="4">
                  <c:v>17.2</c:v>
                </c:pt>
                <c:pt idx="5">
                  <c:v>16.3</c:v>
                </c:pt>
                <c:pt idx="6">
                  <c:v>15.8</c:v>
                </c:pt>
                <c:pt idx="7">
                  <c:v>15.8</c:v>
                </c:pt>
                <c:pt idx="8">
                  <c:v>13.3</c:v>
                </c:pt>
                <c:pt idx="9">
                  <c:v>11.8</c:v>
                </c:pt>
                <c:pt idx="10">
                  <c:v>11.7</c:v>
                </c:pt>
                <c:pt idx="11">
                  <c:v>11.7</c:v>
                </c:pt>
                <c:pt idx="12">
                  <c:v>10.6</c:v>
                </c:pt>
                <c:pt idx="13">
                  <c:v>9.6</c:v>
                </c:pt>
                <c:pt idx="14">
                  <c:v>8.1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b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5</xdr:col>
      <xdr:colOff>542925</xdr:colOff>
      <xdr:row>29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10</xdr:col>
      <xdr:colOff>342900</xdr:colOff>
      <xdr:row>29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21</xdr:col>
      <xdr:colOff>76200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228600</xdr:colOff>
      <xdr:row>18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13</xdr:col>
      <xdr:colOff>228600</xdr:colOff>
      <xdr:row>35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5</xdr:col>
      <xdr:colOff>9525</xdr:colOff>
      <xdr:row>41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11</xdr:col>
      <xdr:colOff>990600</xdr:colOff>
      <xdr:row>41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showGridLines="0" tabSelected="1" zoomScale="90" zoomScaleNormal="90" workbookViewId="0">
      <pane ySplit="6" topLeftCell="A7" activePane="bottomLeft" state="frozen"/>
      <selection pane="bottomLeft"/>
    </sheetView>
  </sheetViews>
  <sheetFormatPr defaultRowHeight="15"/>
  <cols>
    <col min="1" max="1" width="22.7109375" customWidth="1"/>
    <col min="2" max="2" width="24.7109375" customWidth="1"/>
    <col min="3" max="6" width="18.7109375" customWidth="1"/>
    <col min="7" max="7" width="42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</row>
    <row r="2" spans="1:8">
      <c r="A2" s="2" t="s">
        <v>1</v>
      </c>
    </row>
    <row r="5" spans="1:8">
      <c r="A5" s="3" t="s">
        <v>2</v>
      </c>
      <c r="C5" s="3" t="s">
        <v>4</v>
      </c>
      <c r="E5" s="3" t="s">
        <v>6</v>
      </c>
      <c r="G5" s="3" t="s">
        <v>8</v>
      </c>
    </row>
    <row r="6" spans="1:8">
      <c r="A6" s="4" t="s">
        <v>3</v>
      </c>
      <c r="B6" s="4"/>
      <c r="C6" s="4" t="s">
        <v>5</v>
      </c>
      <c r="D6" s="4"/>
      <c r="E6" s="4" t="s">
        <v>7</v>
      </c>
      <c r="F6" s="4"/>
      <c r="G6" s="4" t="s">
        <v>9</v>
      </c>
      <c r="H6" s="4"/>
    </row>
    <row r="8" spans="1:8">
      <c r="A8" s="3" t="s">
        <v>10</v>
      </c>
      <c r="C8" s="3" t="s">
        <v>12</v>
      </c>
      <c r="E8" s="3" t="s">
        <v>14</v>
      </c>
    </row>
    <row r="9" spans="1:8">
      <c r="A9" s="4" t="s">
        <v>11</v>
      </c>
      <c r="B9" s="4"/>
      <c r="C9" s="4" t="s">
        <v>13</v>
      </c>
      <c r="D9" s="4"/>
      <c r="E9" s="4" t="s">
        <v>15</v>
      </c>
      <c r="F9" s="4"/>
    </row>
    <row r="11" spans="1:8">
      <c r="A11" s="3" t="s">
        <v>16</v>
      </c>
    </row>
    <row r="12" spans="1:8">
      <c r="A12" s="5" t="s">
        <v>17</v>
      </c>
    </row>
    <row r="13" spans="1:8">
      <c r="A13" s="5" t="s">
        <v>18</v>
      </c>
    </row>
    <row r="15" spans="1:8">
      <c r="A15" s="3" t="s">
        <v>19</v>
      </c>
    </row>
    <row r="16" spans="1:8">
      <c r="A16" s="5" t="s">
        <v>20</v>
      </c>
      <c r="B16" s="5" t="s">
        <v>21</v>
      </c>
    </row>
    <row r="17" spans="1:2">
      <c r="A17" s="5" t="s">
        <v>20</v>
      </c>
      <c r="B17" s="5" t="s">
        <v>22</v>
      </c>
    </row>
    <row r="18" spans="1:2">
      <c r="A18" s="5" t="s">
        <v>20</v>
      </c>
      <c r="B18" s="5" t="s">
        <v>23</v>
      </c>
    </row>
    <row r="19" spans="1:2">
      <c r="A19" s="5" t="s">
        <v>20</v>
      </c>
      <c r="B19" s="5" t="s">
        <v>24</v>
      </c>
    </row>
    <row r="20" spans="1:2">
      <c r="A20" s="5" t="s">
        <v>20</v>
      </c>
      <c r="B20" s="5" t="s">
        <v>25</v>
      </c>
    </row>
    <row r="21" spans="1:2">
      <c r="A21" s="5" t="s">
        <v>20</v>
      </c>
      <c r="B21" s="5" t="s">
        <v>26</v>
      </c>
    </row>
    <row r="22" spans="1:2">
      <c r="A22" s="5" t="s">
        <v>20</v>
      </c>
      <c r="B22" s="5" t="s">
        <v>27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4.7109375" customWidth="1"/>
    <col min="2" max="5" width="15.7109375" style="6" customWidth="1"/>
    <col min="6" max="6" width="14.7109375" customWidth="1"/>
    <col min="7" max="7" width="12.7109375" customWidth="1"/>
    <col min="8" max="9" width="15.7109375" style="6" customWidth="1"/>
    <col min="10" max="11" width="45.7109375" customWidth="1"/>
  </cols>
  <sheetData>
    <row r="1" spans="1:1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29</v>
      </c>
    </row>
    <row r="5" spans="1:11">
      <c r="A5" s="7" t="s">
        <v>30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12</v>
      </c>
      <c r="G5" s="7" t="s">
        <v>14</v>
      </c>
      <c r="H5" s="7" t="s">
        <v>35</v>
      </c>
      <c r="I5" s="7" t="s">
        <v>36</v>
      </c>
      <c r="J5" s="7" t="s">
        <v>37</v>
      </c>
      <c r="K5" s="7" t="s">
        <v>38</v>
      </c>
    </row>
    <row r="6" spans="1:11">
      <c r="A6" s="5" t="s">
        <v>39</v>
      </c>
      <c r="B6" s="5">
        <v>5.6</v>
      </c>
      <c r="C6" s="5">
        <v>0</v>
      </c>
      <c r="D6" s="5">
        <v>48</v>
      </c>
      <c r="E6" s="5">
        <v>0</v>
      </c>
      <c r="F6" s="5" t="s">
        <v>13</v>
      </c>
      <c r="G6" s="5">
        <v>64</v>
      </c>
      <c r="H6" s="5">
        <v>7.585</v>
      </c>
      <c r="I6" s="5">
        <v>57.1</v>
      </c>
      <c r="J6" s="5" t="s">
        <v>18</v>
      </c>
      <c r="K6" s="5" t="s">
        <v>17</v>
      </c>
    </row>
    <row r="7" spans="1:11">
      <c r="A7" s="5" t="s">
        <v>40</v>
      </c>
      <c r="B7" s="5">
        <v>6.3</v>
      </c>
      <c r="C7" s="5">
        <v>0.7000000000000002</v>
      </c>
      <c r="D7" s="5">
        <v>39</v>
      </c>
      <c r="E7" s="5">
        <v>-9</v>
      </c>
      <c r="F7" s="5" t="s">
        <v>13</v>
      </c>
      <c r="G7" s="5">
        <v>59</v>
      </c>
      <c r="H7" s="5">
        <v>8.532999999999999</v>
      </c>
      <c r="I7" s="5">
        <v>46.4</v>
      </c>
      <c r="J7" s="5" t="s">
        <v>41</v>
      </c>
      <c r="K7" s="5" t="s">
        <v>42</v>
      </c>
    </row>
    <row r="8" spans="1:11">
      <c r="A8" s="5" t="s">
        <v>43</v>
      </c>
      <c r="B8" s="5">
        <v>5</v>
      </c>
      <c r="C8" s="5">
        <v>-0.5999999999999996</v>
      </c>
      <c r="D8" s="5">
        <v>52</v>
      </c>
      <c r="E8" s="5">
        <v>4</v>
      </c>
      <c r="F8" s="5" t="s">
        <v>13</v>
      </c>
      <c r="G8" s="5">
        <v>58</v>
      </c>
      <c r="H8" s="5">
        <v>6.772</v>
      </c>
      <c r="I8" s="5">
        <v>61.8</v>
      </c>
      <c r="J8" s="5" t="s">
        <v>44</v>
      </c>
      <c r="K8" s="5" t="s">
        <v>45</v>
      </c>
    </row>
    <row r="9" spans="1:11">
      <c r="A9" s="5" t="s">
        <v>46</v>
      </c>
      <c r="B9" s="5">
        <v>6.2</v>
      </c>
      <c r="C9" s="5">
        <v>0.6000000000000005</v>
      </c>
      <c r="D9" s="5">
        <v>53</v>
      </c>
      <c r="E9" s="5">
        <v>5</v>
      </c>
      <c r="F9" s="5" t="s">
        <v>47</v>
      </c>
      <c r="G9" s="5">
        <v>77</v>
      </c>
      <c r="H9" s="5">
        <v>7.709</v>
      </c>
      <c r="I9" s="5">
        <v>59.7</v>
      </c>
      <c r="J9" s="5" t="s">
        <v>48</v>
      </c>
      <c r="K9" s="5" t="s">
        <v>49</v>
      </c>
    </row>
    <row r="10" spans="1:11">
      <c r="A10" s="5" t="s">
        <v>50</v>
      </c>
      <c r="B10" s="5">
        <v>6.5</v>
      </c>
      <c r="C10" s="5">
        <v>0.9000000000000004</v>
      </c>
      <c r="D10" s="5">
        <v>50</v>
      </c>
      <c r="E10" s="5">
        <v>2</v>
      </c>
      <c r="F10" s="5" t="s">
        <v>47</v>
      </c>
      <c r="G10" s="5">
        <v>80</v>
      </c>
      <c r="H10" s="5">
        <v>8.082000000000001</v>
      </c>
      <c r="I10" s="5">
        <v>56.3</v>
      </c>
      <c r="J10" s="5" t="s">
        <v>51</v>
      </c>
      <c r="K10" s="5" t="s">
        <v>52</v>
      </c>
    </row>
    <row r="11" spans="1:11">
      <c r="A11" s="5" t="s">
        <v>53</v>
      </c>
      <c r="B11" s="5">
        <v>5.5</v>
      </c>
      <c r="C11" s="5">
        <v>-0.09999999999999964</v>
      </c>
      <c r="D11" s="5">
        <v>48</v>
      </c>
      <c r="E11" s="5">
        <v>0</v>
      </c>
      <c r="F11" s="5" t="s">
        <v>47</v>
      </c>
      <c r="G11" s="5">
        <v>71</v>
      </c>
      <c r="H11" s="5">
        <v>6.838</v>
      </c>
      <c r="I11" s="5">
        <v>54.1</v>
      </c>
      <c r="J11" s="5" t="s">
        <v>54</v>
      </c>
      <c r="K11" s="5" t="s">
        <v>55</v>
      </c>
    </row>
    <row r="12" spans="1:11">
      <c r="A12" s="5" t="s">
        <v>56</v>
      </c>
      <c r="B12" s="5">
        <v>4.4</v>
      </c>
      <c r="C12" s="5">
        <v>-1.199999999999999</v>
      </c>
      <c r="D12" s="5">
        <v>58</v>
      </c>
      <c r="E12" s="5">
        <v>10</v>
      </c>
      <c r="F12" s="5" t="s">
        <v>13</v>
      </c>
      <c r="G12" s="5">
        <v>54</v>
      </c>
      <c r="H12" s="5">
        <v>5.96</v>
      </c>
      <c r="I12" s="5">
        <v>69</v>
      </c>
      <c r="J12" s="5" t="s">
        <v>57</v>
      </c>
      <c r="K12" s="5" t="s">
        <v>58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12.7109375" customWidth="1"/>
    <col min="4" max="4" width="42.7109375" customWidth="1"/>
    <col min="5" max="8" width="13.7109375" style="8" customWidth="1"/>
    <col min="9" max="9" width="10.7109375" style="9" customWidth="1"/>
    <col min="10" max="10" width="42.7109375" customWidth="1"/>
  </cols>
  <sheetData>
    <row r="1" spans="1:10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</row>
    <row r="5" spans="1:10">
      <c r="A5" s="7" t="s">
        <v>60</v>
      </c>
      <c r="B5" s="7" t="s">
        <v>61</v>
      </c>
      <c r="C5" s="7" t="s">
        <v>62</v>
      </c>
      <c r="D5" s="7" t="s">
        <v>63</v>
      </c>
      <c r="E5" s="7" t="s">
        <v>64</v>
      </c>
      <c r="F5" s="7" t="s">
        <v>65</v>
      </c>
      <c r="G5" s="7" t="s">
        <v>66</v>
      </c>
      <c r="H5" s="7" t="s">
        <v>67</v>
      </c>
      <c r="I5" s="7" t="s">
        <v>68</v>
      </c>
      <c r="J5" s="7" t="s">
        <v>69</v>
      </c>
    </row>
    <row r="6" spans="1:10">
      <c r="A6" s="5" t="s">
        <v>70</v>
      </c>
      <c r="B6" s="5" t="s">
        <v>71</v>
      </c>
      <c r="C6" s="5" t="s">
        <v>72</v>
      </c>
      <c r="D6" s="5" t="s">
        <v>73</v>
      </c>
      <c r="E6" s="5">
        <v>0.271</v>
      </c>
      <c r="F6" s="5">
        <v>0.339</v>
      </c>
      <c r="G6" s="5">
        <v>0.405</v>
      </c>
      <c r="H6" s="5">
        <v>0.441</v>
      </c>
      <c r="I6" s="5">
        <v>0.04171794240708836</v>
      </c>
      <c r="J6" s="5" t="s">
        <v>74</v>
      </c>
    </row>
    <row r="7" spans="1:10">
      <c r="A7" s="5" t="s">
        <v>75</v>
      </c>
      <c r="B7" s="5" t="s">
        <v>76</v>
      </c>
      <c r="C7" s="5" t="s">
        <v>72</v>
      </c>
      <c r="D7" s="5" t="s">
        <v>77</v>
      </c>
      <c r="E7" s="5">
        <v>0.361</v>
      </c>
      <c r="F7" s="5">
        <v>0.451</v>
      </c>
      <c r="G7" s="5">
        <v>0.539</v>
      </c>
      <c r="H7" s="5">
        <v>0.586</v>
      </c>
      <c r="I7" s="5">
        <v>0.05550086143243909</v>
      </c>
      <c r="J7" s="5" t="s">
        <v>78</v>
      </c>
    </row>
    <row r="8" spans="1:10">
      <c r="A8" s="5" t="s">
        <v>79</v>
      </c>
      <c r="B8" s="5" t="s">
        <v>80</v>
      </c>
      <c r="C8" s="5" t="s">
        <v>72</v>
      </c>
      <c r="D8" s="5" t="s">
        <v>81</v>
      </c>
      <c r="E8" s="5">
        <v>0.632</v>
      </c>
      <c r="F8" s="5">
        <v>0.79</v>
      </c>
      <c r="G8" s="5">
        <v>0.944</v>
      </c>
      <c r="H8" s="5">
        <v>1.027</v>
      </c>
      <c r="I8" s="5">
        <v>0.09721880383952745</v>
      </c>
      <c r="J8" s="5" t="s">
        <v>82</v>
      </c>
    </row>
    <row r="9" spans="1:10">
      <c r="A9" s="5" t="s">
        <v>83</v>
      </c>
      <c r="B9" s="5" t="s">
        <v>84</v>
      </c>
      <c r="C9" s="5" t="s">
        <v>72</v>
      </c>
      <c r="D9" s="5" t="s">
        <v>85</v>
      </c>
      <c r="E9" s="5">
        <v>0.632</v>
      </c>
      <c r="F9" s="5">
        <v>0.79</v>
      </c>
      <c r="G9" s="5">
        <v>0.944</v>
      </c>
      <c r="H9" s="5">
        <v>1.027</v>
      </c>
      <c r="I9" s="5">
        <v>0.09721880383952745</v>
      </c>
      <c r="J9" s="5" t="s">
        <v>86</v>
      </c>
    </row>
    <row r="10" spans="1:10">
      <c r="A10" s="5" t="s">
        <v>87</v>
      </c>
      <c r="B10" s="5" t="s">
        <v>88</v>
      </c>
      <c r="C10" s="5" t="s">
        <v>72</v>
      </c>
      <c r="D10" s="5" t="s">
        <v>89</v>
      </c>
      <c r="E10" s="5">
        <v>0.542</v>
      </c>
      <c r="F10" s="5">
        <v>0.677</v>
      </c>
      <c r="G10" s="5">
        <v>0.8090000000000001</v>
      </c>
      <c r="H10" s="5">
        <v>0.88</v>
      </c>
      <c r="I10" s="5">
        <v>0.08331282303716467</v>
      </c>
      <c r="J10" s="5" t="s">
        <v>90</v>
      </c>
    </row>
    <row r="11" spans="1:10">
      <c r="A11" s="5" t="s">
        <v>91</v>
      </c>
      <c r="B11" s="5" t="s">
        <v>92</v>
      </c>
      <c r="C11" s="5" t="s">
        <v>72</v>
      </c>
      <c r="D11" s="5" t="s">
        <v>93</v>
      </c>
      <c r="E11" s="5">
        <v>0.587</v>
      </c>
      <c r="F11" s="5">
        <v>0.734</v>
      </c>
      <c r="G11" s="5">
        <v>0.877</v>
      </c>
      <c r="H11" s="5">
        <v>0.954</v>
      </c>
      <c r="I11" s="5">
        <v>0.09032734432685209</v>
      </c>
      <c r="J11" s="5" t="s">
        <v>94</v>
      </c>
    </row>
    <row r="12" spans="1:10">
      <c r="A12" s="5" t="s">
        <v>95</v>
      </c>
      <c r="B12" s="5" t="s">
        <v>96</v>
      </c>
      <c r="C12" s="5" t="s">
        <v>72</v>
      </c>
      <c r="D12" s="5" t="s">
        <v>97</v>
      </c>
      <c r="E12" s="5">
        <v>0.722</v>
      </c>
      <c r="F12" s="5">
        <v>0.903</v>
      </c>
      <c r="G12" s="5">
        <v>1.079</v>
      </c>
      <c r="H12" s="5">
        <v>1.174</v>
      </c>
      <c r="I12" s="5">
        <v>0.1111247846418902</v>
      </c>
      <c r="J12" s="5" t="s">
        <v>98</v>
      </c>
    </row>
    <row r="13" spans="1:10">
      <c r="A13" s="5" t="s">
        <v>99</v>
      </c>
      <c r="B13" s="5" t="s">
        <v>100</v>
      </c>
      <c r="C13" s="5" t="s">
        <v>72</v>
      </c>
      <c r="D13" s="5" t="s">
        <v>101</v>
      </c>
      <c r="E13" s="5">
        <v>0.542</v>
      </c>
      <c r="F13" s="5">
        <v>0.677</v>
      </c>
      <c r="G13" s="5">
        <v>0.8090000000000001</v>
      </c>
      <c r="H13" s="5">
        <v>0.88</v>
      </c>
      <c r="I13" s="5">
        <v>0.08331282303716467</v>
      </c>
      <c r="J13" s="5" t="s">
        <v>102</v>
      </c>
    </row>
    <row r="14" spans="1:10">
      <c r="A14" s="5" t="s">
        <v>103</v>
      </c>
      <c r="B14" s="5" t="s">
        <v>104</v>
      </c>
      <c r="C14" s="5" t="s">
        <v>72</v>
      </c>
      <c r="D14" s="5" t="s">
        <v>105</v>
      </c>
      <c r="E14" s="5">
        <v>0.406</v>
      </c>
      <c r="F14" s="5">
        <v>0.508</v>
      </c>
      <c r="G14" s="5">
        <v>0.607</v>
      </c>
      <c r="H14" s="5">
        <v>0.66</v>
      </c>
      <c r="I14" s="5">
        <v>0.06251538272212651</v>
      </c>
      <c r="J14" s="5" t="s">
        <v>106</v>
      </c>
    </row>
    <row r="15" spans="1:10">
      <c r="A15" s="5" t="s">
        <v>107</v>
      </c>
      <c r="B15" s="5" t="s">
        <v>108</v>
      </c>
      <c r="C15" s="5" t="s">
        <v>72</v>
      </c>
      <c r="D15" s="5" t="s">
        <v>109</v>
      </c>
      <c r="E15" s="5">
        <v>0.451</v>
      </c>
      <c r="F15" s="5">
        <v>0.5639999999999999</v>
      </c>
      <c r="G15" s="5">
        <v>0.674</v>
      </c>
      <c r="H15" s="5">
        <v>0.733</v>
      </c>
      <c r="I15" s="5">
        <v>0.06940684223480187</v>
      </c>
      <c r="J15" s="5" t="s">
        <v>110</v>
      </c>
    </row>
    <row r="16" spans="1:10">
      <c r="A16" s="5" t="s">
        <v>111</v>
      </c>
      <c r="B16" s="5" t="s">
        <v>112</v>
      </c>
      <c r="C16" s="5" t="s">
        <v>72</v>
      </c>
      <c r="D16" s="5" t="s">
        <v>113</v>
      </c>
      <c r="E16" s="5">
        <v>0.181</v>
      </c>
      <c r="F16" s="5">
        <v>0.226</v>
      </c>
      <c r="G16" s="5">
        <v>0.27</v>
      </c>
      <c r="H16" s="5">
        <v>0.294</v>
      </c>
      <c r="I16" s="5">
        <v>0.02781196160472557</v>
      </c>
      <c r="J16" s="5" t="s">
        <v>114</v>
      </c>
    </row>
    <row r="17" spans="1:10">
      <c r="A17" s="5" t="s">
        <v>115</v>
      </c>
      <c r="B17" s="5" t="s">
        <v>116</v>
      </c>
      <c r="C17" s="5" t="s">
        <v>117</v>
      </c>
      <c r="D17" s="5" t="s">
        <v>118</v>
      </c>
      <c r="E17" s="5">
        <v>0.316</v>
      </c>
      <c r="F17" s="5">
        <v>0.395</v>
      </c>
      <c r="G17" s="5">
        <v>0.472</v>
      </c>
      <c r="H17" s="5">
        <v>0.514</v>
      </c>
      <c r="I17" s="5">
        <v>0.04860940191976373</v>
      </c>
      <c r="J17" s="5" t="s">
        <v>119</v>
      </c>
    </row>
    <row r="18" spans="1:10">
      <c r="A18" s="5" t="s">
        <v>120</v>
      </c>
      <c r="B18" s="5" t="s">
        <v>121</v>
      </c>
      <c r="C18" s="5" t="s">
        <v>117</v>
      </c>
      <c r="D18" s="5" t="s">
        <v>122</v>
      </c>
      <c r="E18" s="5">
        <v>0.316</v>
      </c>
      <c r="F18" s="5">
        <v>0.395</v>
      </c>
      <c r="G18" s="5">
        <v>0.472</v>
      </c>
      <c r="H18" s="5">
        <v>0.514</v>
      </c>
      <c r="I18" s="5">
        <v>0.04860940191976373</v>
      </c>
      <c r="J18" s="5" t="s">
        <v>123</v>
      </c>
    </row>
    <row r="19" spans="1:10">
      <c r="A19" s="5" t="s">
        <v>124</v>
      </c>
      <c r="B19" s="5" t="s">
        <v>125</v>
      </c>
      <c r="C19" s="5" t="s">
        <v>117</v>
      </c>
      <c r="D19" s="5" t="s">
        <v>126</v>
      </c>
      <c r="E19" s="5">
        <v>0.135</v>
      </c>
      <c r="F19" s="5">
        <v>0.169</v>
      </c>
      <c r="G19" s="5">
        <v>0.202</v>
      </c>
      <c r="H19" s="5">
        <v>0.22</v>
      </c>
      <c r="I19" s="5">
        <v>0.02079744031503815</v>
      </c>
      <c r="J19" s="5" t="s">
        <v>127</v>
      </c>
    </row>
    <row r="20" spans="1:10">
      <c r="A20" s="5" t="s">
        <v>128</v>
      </c>
      <c r="B20" s="5" t="s">
        <v>129</v>
      </c>
      <c r="C20" s="5" t="s">
        <v>130</v>
      </c>
      <c r="D20" s="5" t="s">
        <v>131</v>
      </c>
      <c r="E20" s="5">
        <v>0.271</v>
      </c>
      <c r="F20" s="5">
        <v>0.339</v>
      </c>
      <c r="G20" s="5">
        <v>0.405</v>
      </c>
      <c r="H20" s="5">
        <v>0.441</v>
      </c>
      <c r="I20" s="5">
        <v>0.04171794240708836</v>
      </c>
      <c r="J20" s="5" t="s">
        <v>132</v>
      </c>
    </row>
    <row r="21" spans="1:10">
      <c r="A21" s="5" t="s">
        <v>133</v>
      </c>
      <c r="B21" s="5" t="s">
        <v>134</v>
      </c>
      <c r="C21" s="5" t="s">
        <v>130</v>
      </c>
      <c r="D21" s="5" t="s">
        <v>135</v>
      </c>
      <c r="E21" s="5">
        <v>0.135</v>
      </c>
      <c r="F21" s="5">
        <v>0.169</v>
      </c>
      <c r="G21" s="5">
        <v>0.202</v>
      </c>
      <c r="H21" s="5">
        <v>0.22</v>
      </c>
      <c r="I21" s="5">
        <v>0.02079744031503815</v>
      </c>
      <c r="J21" s="5" t="s">
        <v>136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12.7109375" customWidth="1"/>
    <col min="4" max="4" width="28.7109375" customWidth="1"/>
    <col min="5" max="5" width="12.7109375" customWidth="1"/>
    <col min="6" max="8" width="12.7109375" style="8" customWidth="1"/>
    <col min="9" max="9" width="45.7109375" customWidth="1"/>
  </cols>
  <sheetData>
    <row r="1" spans="1:9">
      <c r="A1" s="1" t="s">
        <v>137</v>
      </c>
      <c r="B1" s="1"/>
      <c r="C1" s="1"/>
      <c r="D1" s="1"/>
      <c r="E1" s="1"/>
      <c r="F1" s="1"/>
      <c r="G1" s="1"/>
      <c r="H1" s="1"/>
      <c r="I1" s="1"/>
    </row>
    <row r="5" spans="1:9">
      <c r="A5" s="7" t="s">
        <v>138</v>
      </c>
      <c r="B5" s="7" t="s">
        <v>139</v>
      </c>
      <c r="C5" s="7" t="s">
        <v>60</v>
      </c>
      <c r="D5" s="7" t="s">
        <v>61</v>
      </c>
      <c r="E5" s="7" t="s">
        <v>62</v>
      </c>
      <c r="F5" s="7" t="s">
        <v>64</v>
      </c>
      <c r="G5" s="7" t="s">
        <v>140</v>
      </c>
      <c r="H5" s="7" t="s">
        <v>67</v>
      </c>
      <c r="I5" s="7" t="s">
        <v>141</v>
      </c>
    </row>
    <row r="6" spans="1:9">
      <c r="A6" s="5">
        <v>1</v>
      </c>
      <c r="B6" s="5" t="s">
        <v>142</v>
      </c>
      <c r="C6" s="5" t="s">
        <v>70</v>
      </c>
      <c r="D6" s="5" t="s">
        <v>71</v>
      </c>
      <c r="E6" s="5" t="s">
        <v>72</v>
      </c>
      <c r="F6" s="5">
        <v>0.305</v>
      </c>
      <c r="G6" s="5">
        <v>0.339</v>
      </c>
      <c r="H6" s="5">
        <v>0.39</v>
      </c>
      <c r="I6" s="5" t="s">
        <v>73</v>
      </c>
    </row>
    <row r="7" spans="1:9">
      <c r="A7" s="5">
        <v>1</v>
      </c>
      <c r="B7" s="5" t="s">
        <v>142</v>
      </c>
      <c r="C7" s="5" t="s">
        <v>75</v>
      </c>
      <c r="D7" s="5" t="s">
        <v>76</v>
      </c>
      <c r="E7" s="5" t="s">
        <v>72</v>
      </c>
      <c r="F7" s="5">
        <v>0.406</v>
      </c>
      <c r="G7" s="5">
        <v>0.451</v>
      </c>
      <c r="H7" s="5">
        <v>0.519</v>
      </c>
      <c r="I7" s="5" t="s">
        <v>77</v>
      </c>
    </row>
    <row r="8" spans="1:9">
      <c r="A8" s="5">
        <v>1</v>
      </c>
      <c r="B8" s="5" t="s">
        <v>142</v>
      </c>
      <c r="C8" s="5" t="s">
        <v>79</v>
      </c>
      <c r="D8" s="5" t="s">
        <v>80</v>
      </c>
      <c r="E8" s="5" t="s">
        <v>72</v>
      </c>
      <c r="F8" s="5">
        <v>0.711</v>
      </c>
      <c r="G8" s="5">
        <v>0.79</v>
      </c>
      <c r="H8" s="5">
        <v>0.908</v>
      </c>
      <c r="I8" s="5" t="s">
        <v>81</v>
      </c>
    </row>
    <row r="9" spans="1:9">
      <c r="A9" s="5">
        <v>1</v>
      </c>
      <c r="B9" s="5" t="s">
        <v>142</v>
      </c>
      <c r="C9" s="5" t="s">
        <v>83</v>
      </c>
      <c r="D9" s="5" t="s">
        <v>84</v>
      </c>
      <c r="E9" s="5" t="s">
        <v>72</v>
      </c>
      <c r="F9" s="5">
        <v>0.711</v>
      </c>
      <c r="G9" s="5">
        <v>0.79</v>
      </c>
      <c r="H9" s="5">
        <v>0.908</v>
      </c>
      <c r="I9" s="5" t="s">
        <v>85</v>
      </c>
    </row>
    <row r="10" spans="1:9">
      <c r="A10" s="5">
        <v>1</v>
      </c>
      <c r="B10" s="5" t="s">
        <v>142</v>
      </c>
      <c r="C10" s="5" t="s">
        <v>87</v>
      </c>
      <c r="D10" s="5" t="s">
        <v>88</v>
      </c>
      <c r="E10" s="5" t="s">
        <v>72</v>
      </c>
      <c r="F10" s="5">
        <v>0.609</v>
      </c>
      <c r="G10" s="5">
        <v>0.677</v>
      </c>
      <c r="H10" s="5">
        <v>0.779</v>
      </c>
      <c r="I10" s="5" t="s">
        <v>89</v>
      </c>
    </row>
    <row r="11" spans="1:9">
      <c r="A11" s="5">
        <v>1</v>
      </c>
      <c r="B11" s="5" t="s">
        <v>142</v>
      </c>
      <c r="C11" s="5" t="s">
        <v>91</v>
      </c>
      <c r="D11" s="5" t="s">
        <v>92</v>
      </c>
      <c r="E11" s="5" t="s">
        <v>72</v>
      </c>
      <c r="F11" s="5">
        <v>0.661</v>
      </c>
      <c r="G11" s="5">
        <v>0.734</v>
      </c>
      <c r="H11" s="5">
        <v>0.844</v>
      </c>
      <c r="I11" s="5" t="s">
        <v>93</v>
      </c>
    </row>
    <row r="12" spans="1:9">
      <c r="A12" s="5">
        <v>1</v>
      </c>
      <c r="B12" s="5" t="s">
        <v>142</v>
      </c>
      <c r="C12" s="5" t="s">
        <v>95</v>
      </c>
      <c r="D12" s="5" t="s">
        <v>96</v>
      </c>
      <c r="E12" s="5" t="s">
        <v>72</v>
      </c>
      <c r="F12" s="5">
        <v>0.8129999999999999</v>
      </c>
      <c r="G12" s="5">
        <v>0.903</v>
      </c>
      <c r="H12" s="5">
        <v>1.038</v>
      </c>
      <c r="I12" s="5" t="s">
        <v>97</v>
      </c>
    </row>
    <row r="13" spans="1:9">
      <c r="A13" s="5">
        <v>1</v>
      </c>
      <c r="B13" s="5" t="s">
        <v>142</v>
      </c>
      <c r="C13" s="5" t="s">
        <v>99</v>
      </c>
      <c r="D13" s="5" t="s">
        <v>100</v>
      </c>
      <c r="E13" s="5" t="s">
        <v>72</v>
      </c>
      <c r="F13" s="5">
        <v>0.609</v>
      </c>
      <c r="G13" s="5">
        <v>0.677</v>
      </c>
      <c r="H13" s="5">
        <v>0.779</v>
      </c>
      <c r="I13" s="5" t="s">
        <v>101</v>
      </c>
    </row>
    <row r="14" spans="1:9">
      <c r="A14" s="5">
        <v>1</v>
      </c>
      <c r="B14" s="5" t="s">
        <v>142</v>
      </c>
      <c r="C14" s="5" t="s">
        <v>103</v>
      </c>
      <c r="D14" s="5" t="s">
        <v>104</v>
      </c>
      <c r="E14" s="5" t="s">
        <v>72</v>
      </c>
      <c r="F14" s="5">
        <v>0.457</v>
      </c>
      <c r="G14" s="5">
        <v>0.508</v>
      </c>
      <c r="H14" s="5">
        <v>0.584</v>
      </c>
      <c r="I14" s="5" t="s">
        <v>105</v>
      </c>
    </row>
    <row r="15" spans="1:9">
      <c r="A15" s="5">
        <v>1</v>
      </c>
      <c r="B15" s="5" t="s">
        <v>142</v>
      </c>
      <c r="C15" s="5" t="s">
        <v>107</v>
      </c>
      <c r="D15" s="5" t="s">
        <v>108</v>
      </c>
      <c r="E15" s="5" t="s">
        <v>72</v>
      </c>
      <c r="F15" s="5">
        <v>0.508</v>
      </c>
      <c r="G15" s="5">
        <v>0.5639999999999999</v>
      </c>
      <c r="H15" s="5">
        <v>0.649</v>
      </c>
      <c r="I15" s="5" t="s">
        <v>109</v>
      </c>
    </row>
    <row r="16" spans="1:9">
      <c r="A16" s="5">
        <v>1</v>
      </c>
      <c r="B16" s="5" t="s">
        <v>142</v>
      </c>
      <c r="C16" s="5" t="s">
        <v>111</v>
      </c>
      <c r="D16" s="5" t="s">
        <v>112</v>
      </c>
      <c r="E16" s="5" t="s">
        <v>72</v>
      </c>
      <c r="F16" s="5">
        <v>0.203</v>
      </c>
      <c r="G16" s="5">
        <v>0.226</v>
      </c>
      <c r="H16" s="5">
        <v>0.26</v>
      </c>
      <c r="I16" s="5" t="s">
        <v>113</v>
      </c>
    </row>
    <row r="17" spans="1:9">
      <c r="A17" s="5">
        <v>1</v>
      </c>
      <c r="B17" s="5" t="s">
        <v>142</v>
      </c>
      <c r="C17" s="5" t="s">
        <v>115</v>
      </c>
      <c r="D17" s="5" t="s">
        <v>116</v>
      </c>
      <c r="E17" s="5" t="s">
        <v>117</v>
      </c>
      <c r="F17" s="5">
        <v>0.356</v>
      </c>
      <c r="G17" s="5">
        <v>0.395</v>
      </c>
      <c r="H17" s="5">
        <v>0.454</v>
      </c>
      <c r="I17" s="5" t="s">
        <v>118</v>
      </c>
    </row>
    <row r="18" spans="1:9">
      <c r="A18" s="5">
        <v>1</v>
      </c>
      <c r="B18" s="5" t="s">
        <v>142</v>
      </c>
      <c r="C18" s="5" t="s">
        <v>120</v>
      </c>
      <c r="D18" s="5" t="s">
        <v>121</v>
      </c>
      <c r="E18" s="5" t="s">
        <v>117</v>
      </c>
      <c r="F18" s="5">
        <v>0.356</v>
      </c>
      <c r="G18" s="5">
        <v>0.395</v>
      </c>
      <c r="H18" s="5">
        <v>0.454</v>
      </c>
      <c r="I18" s="5" t="s">
        <v>122</v>
      </c>
    </row>
    <row r="19" spans="1:9">
      <c r="A19" s="5">
        <v>1</v>
      </c>
      <c r="B19" s="5" t="s">
        <v>142</v>
      </c>
      <c r="C19" s="5" t="s">
        <v>124</v>
      </c>
      <c r="D19" s="5" t="s">
        <v>125</v>
      </c>
      <c r="E19" s="5" t="s">
        <v>117</v>
      </c>
      <c r="F19" s="5">
        <v>0.152</v>
      </c>
      <c r="G19" s="5">
        <v>0.169</v>
      </c>
      <c r="H19" s="5">
        <v>0.194</v>
      </c>
      <c r="I19" s="5" t="s">
        <v>126</v>
      </c>
    </row>
    <row r="20" spans="1:9">
      <c r="A20" s="5">
        <v>1</v>
      </c>
      <c r="B20" s="5" t="s">
        <v>142</v>
      </c>
      <c r="C20" s="5" t="s">
        <v>128</v>
      </c>
      <c r="D20" s="5" t="s">
        <v>129</v>
      </c>
      <c r="E20" s="5" t="s">
        <v>130</v>
      </c>
      <c r="F20" s="5">
        <v>0.305</v>
      </c>
      <c r="G20" s="5">
        <v>0.339</v>
      </c>
      <c r="H20" s="5">
        <v>0.39</v>
      </c>
      <c r="I20" s="5" t="s">
        <v>131</v>
      </c>
    </row>
    <row r="21" spans="1:9">
      <c r="A21" s="5">
        <v>1</v>
      </c>
      <c r="B21" s="5" t="s">
        <v>142</v>
      </c>
      <c r="C21" s="5" t="s">
        <v>133</v>
      </c>
      <c r="D21" s="5" t="s">
        <v>134</v>
      </c>
      <c r="E21" s="5" t="s">
        <v>130</v>
      </c>
      <c r="F21" s="5">
        <v>0.152</v>
      </c>
      <c r="G21" s="5">
        <v>0.169</v>
      </c>
      <c r="H21" s="5">
        <v>0.194</v>
      </c>
      <c r="I21" s="5" t="s">
        <v>135</v>
      </c>
    </row>
    <row r="22" spans="1:9">
      <c r="A22" s="5">
        <v>2</v>
      </c>
      <c r="B22" s="5" t="s">
        <v>143</v>
      </c>
      <c r="C22" s="5" t="s">
        <v>70</v>
      </c>
      <c r="D22" s="5" t="s">
        <v>71</v>
      </c>
      <c r="E22" s="5" t="s">
        <v>72</v>
      </c>
      <c r="F22" s="5">
        <v>0.288</v>
      </c>
      <c r="G22" s="5">
        <v>0.339</v>
      </c>
      <c r="H22" s="5">
        <v>0.407</v>
      </c>
      <c r="I22" s="5" t="s">
        <v>73</v>
      </c>
    </row>
    <row r="23" spans="1:9">
      <c r="A23" s="5">
        <v>2</v>
      </c>
      <c r="B23" s="5" t="s">
        <v>143</v>
      </c>
      <c r="C23" s="5" t="s">
        <v>75</v>
      </c>
      <c r="D23" s="5" t="s">
        <v>76</v>
      </c>
      <c r="E23" s="5" t="s">
        <v>72</v>
      </c>
      <c r="F23" s="5">
        <v>0.383</v>
      </c>
      <c r="G23" s="5">
        <v>0.451</v>
      </c>
      <c r="H23" s="5">
        <v>0.541</v>
      </c>
      <c r="I23" s="5" t="s">
        <v>77</v>
      </c>
    </row>
    <row r="24" spans="1:9">
      <c r="A24" s="5">
        <v>2</v>
      </c>
      <c r="B24" s="5" t="s">
        <v>143</v>
      </c>
      <c r="C24" s="5" t="s">
        <v>79</v>
      </c>
      <c r="D24" s="5" t="s">
        <v>80</v>
      </c>
      <c r="E24" s="5" t="s">
        <v>72</v>
      </c>
      <c r="F24" s="5">
        <v>0.671</v>
      </c>
      <c r="G24" s="5">
        <v>0.79</v>
      </c>
      <c r="H24" s="5">
        <v>0.948</v>
      </c>
      <c r="I24" s="5" t="s">
        <v>81</v>
      </c>
    </row>
    <row r="25" spans="1:9">
      <c r="A25" s="5">
        <v>2</v>
      </c>
      <c r="B25" s="5" t="s">
        <v>143</v>
      </c>
      <c r="C25" s="5" t="s">
        <v>83</v>
      </c>
      <c r="D25" s="5" t="s">
        <v>84</v>
      </c>
      <c r="E25" s="5" t="s">
        <v>72</v>
      </c>
      <c r="F25" s="5">
        <v>0.671</v>
      </c>
      <c r="G25" s="5">
        <v>0.79</v>
      </c>
      <c r="H25" s="5">
        <v>0.948</v>
      </c>
      <c r="I25" s="5" t="s">
        <v>85</v>
      </c>
    </row>
    <row r="26" spans="1:9">
      <c r="A26" s="5">
        <v>2</v>
      </c>
      <c r="B26" s="5" t="s">
        <v>143</v>
      </c>
      <c r="C26" s="5" t="s">
        <v>87</v>
      </c>
      <c r="D26" s="5" t="s">
        <v>88</v>
      </c>
      <c r="E26" s="5" t="s">
        <v>72</v>
      </c>
      <c r="F26" s="5">
        <v>0.575</v>
      </c>
      <c r="G26" s="5">
        <v>0.677</v>
      </c>
      <c r="H26" s="5">
        <v>0.8120000000000001</v>
      </c>
      <c r="I26" s="5" t="s">
        <v>89</v>
      </c>
    </row>
    <row r="27" spans="1:9">
      <c r="A27" s="5">
        <v>2</v>
      </c>
      <c r="B27" s="5" t="s">
        <v>143</v>
      </c>
      <c r="C27" s="5" t="s">
        <v>91</v>
      </c>
      <c r="D27" s="5" t="s">
        <v>92</v>
      </c>
      <c r="E27" s="5" t="s">
        <v>72</v>
      </c>
      <c r="F27" s="5">
        <v>0.624</v>
      </c>
      <c r="G27" s="5">
        <v>0.734</v>
      </c>
      <c r="H27" s="5">
        <v>0.881</v>
      </c>
      <c r="I27" s="5" t="s">
        <v>93</v>
      </c>
    </row>
    <row r="28" spans="1:9">
      <c r="A28" s="5">
        <v>2</v>
      </c>
      <c r="B28" s="5" t="s">
        <v>143</v>
      </c>
      <c r="C28" s="5" t="s">
        <v>95</v>
      </c>
      <c r="D28" s="5" t="s">
        <v>96</v>
      </c>
      <c r="E28" s="5" t="s">
        <v>72</v>
      </c>
      <c r="F28" s="5">
        <v>0.768</v>
      </c>
      <c r="G28" s="5">
        <v>0.903</v>
      </c>
      <c r="H28" s="5">
        <v>1.084</v>
      </c>
      <c r="I28" s="5" t="s">
        <v>97</v>
      </c>
    </row>
    <row r="29" spans="1:9">
      <c r="A29" s="5">
        <v>2</v>
      </c>
      <c r="B29" s="5" t="s">
        <v>143</v>
      </c>
      <c r="C29" s="5" t="s">
        <v>99</v>
      </c>
      <c r="D29" s="5" t="s">
        <v>100</v>
      </c>
      <c r="E29" s="5" t="s">
        <v>72</v>
      </c>
      <c r="F29" s="5">
        <v>0.575</v>
      </c>
      <c r="G29" s="5">
        <v>0.677</v>
      </c>
      <c r="H29" s="5">
        <v>0.8120000000000001</v>
      </c>
      <c r="I29" s="5" t="s">
        <v>101</v>
      </c>
    </row>
    <row r="30" spans="1:9">
      <c r="A30" s="5">
        <v>2</v>
      </c>
      <c r="B30" s="5" t="s">
        <v>143</v>
      </c>
      <c r="C30" s="5" t="s">
        <v>103</v>
      </c>
      <c r="D30" s="5" t="s">
        <v>104</v>
      </c>
      <c r="E30" s="5" t="s">
        <v>72</v>
      </c>
      <c r="F30" s="5">
        <v>0.432</v>
      </c>
      <c r="G30" s="5">
        <v>0.508</v>
      </c>
      <c r="H30" s="5">
        <v>0.61</v>
      </c>
      <c r="I30" s="5" t="s">
        <v>105</v>
      </c>
    </row>
    <row r="31" spans="1:9">
      <c r="A31" s="5">
        <v>2</v>
      </c>
      <c r="B31" s="5" t="s">
        <v>143</v>
      </c>
      <c r="C31" s="5" t="s">
        <v>107</v>
      </c>
      <c r="D31" s="5" t="s">
        <v>108</v>
      </c>
      <c r="E31" s="5" t="s">
        <v>72</v>
      </c>
      <c r="F31" s="5">
        <v>0.479</v>
      </c>
      <c r="G31" s="5">
        <v>0.5639999999999999</v>
      </c>
      <c r="H31" s="5">
        <v>0.677</v>
      </c>
      <c r="I31" s="5" t="s">
        <v>109</v>
      </c>
    </row>
    <row r="32" spans="1:9">
      <c r="A32" s="5">
        <v>2</v>
      </c>
      <c r="B32" s="5" t="s">
        <v>143</v>
      </c>
      <c r="C32" s="5" t="s">
        <v>111</v>
      </c>
      <c r="D32" s="5" t="s">
        <v>112</v>
      </c>
      <c r="E32" s="5" t="s">
        <v>72</v>
      </c>
      <c r="F32" s="5">
        <v>0.192</v>
      </c>
      <c r="G32" s="5">
        <v>0.226</v>
      </c>
      <c r="H32" s="5">
        <v>0.271</v>
      </c>
      <c r="I32" s="5" t="s">
        <v>113</v>
      </c>
    </row>
    <row r="33" spans="1:9">
      <c r="A33" s="5">
        <v>2</v>
      </c>
      <c r="B33" s="5" t="s">
        <v>143</v>
      </c>
      <c r="C33" s="5" t="s">
        <v>115</v>
      </c>
      <c r="D33" s="5" t="s">
        <v>116</v>
      </c>
      <c r="E33" s="5" t="s">
        <v>117</v>
      </c>
      <c r="F33" s="5">
        <v>0.336</v>
      </c>
      <c r="G33" s="5">
        <v>0.395</v>
      </c>
      <c r="H33" s="5">
        <v>0.474</v>
      </c>
      <c r="I33" s="5" t="s">
        <v>118</v>
      </c>
    </row>
    <row r="34" spans="1:9">
      <c r="A34" s="5">
        <v>2</v>
      </c>
      <c r="B34" s="5" t="s">
        <v>143</v>
      </c>
      <c r="C34" s="5" t="s">
        <v>120</v>
      </c>
      <c r="D34" s="5" t="s">
        <v>121</v>
      </c>
      <c r="E34" s="5" t="s">
        <v>117</v>
      </c>
      <c r="F34" s="5">
        <v>0.336</v>
      </c>
      <c r="G34" s="5">
        <v>0.395</v>
      </c>
      <c r="H34" s="5">
        <v>0.474</v>
      </c>
      <c r="I34" s="5" t="s">
        <v>122</v>
      </c>
    </row>
    <row r="35" spans="1:9">
      <c r="A35" s="5">
        <v>2</v>
      </c>
      <c r="B35" s="5" t="s">
        <v>143</v>
      </c>
      <c r="C35" s="5" t="s">
        <v>124</v>
      </c>
      <c r="D35" s="5" t="s">
        <v>125</v>
      </c>
      <c r="E35" s="5" t="s">
        <v>117</v>
      </c>
      <c r="F35" s="5">
        <v>0.144</v>
      </c>
      <c r="G35" s="5">
        <v>0.169</v>
      </c>
      <c r="H35" s="5">
        <v>0.203</v>
      </c>
      <c r="I35" s="5" t="s">
        <v>126</v>
      </c>
    </row>
    <row r="36" spans="1:9">
      <c r="A36" s="5">
        <v>2</v>
      </c>
      <c r="B36" s="5" t="s">
        <v>143</v>
      </c>
      <c r="C36" s="5" t="s">
        <v>128</v>
      </c>
      <c r="D36" s="5" t="s">
        <v>129</v>
      </c>
      <c r="E36" s="5" t="s">
        <v>130</v>
      </c>
      <c r="F36" s="5">
        <v>0.288</v>
      </c>
      <c r="G36" s="5">
        <v>0.339</v>
      </c>
      <c r="H36" s="5">
        <v>0.407</v>
      </c>
      <c r="I36" s="5" t="s">
        <v>131</v>
      </c>
    </row>
    <row r="37" spans="1:9">
      <c r="A37" s="5">
        <v>2</v>
      </c>
      <c r="B37" s="5" t="s">
        <v>143</v>
      </c>
      <c r="C37" s="5" t="s">
        <v>133</v>
      </c>
      <c r="D37" s="5" t="s">
        <v>134</v>
      </c>
      <c r="E37" s="5" t="s">
        <v>130</v>
      </c>
      <c r="F37" s="5">
        <v>0.144</v>
      </c>
      <c r="G37" s="5">
        <v>0.169</v>
      </c>
      <c r="H37" s="5">
        <v>0.203</v>
      </c>
      <c r="I37" s="5" t="s">
        <v>135</v>
      </c>
    </row>
    <row r="38" spans="1:9">
      <c r="A38" s="5">
        <v>3</v>
      </c>
      <c r="B38" s="5" t="s">
        <v>144</v>
      </c>
      <c r="C38" s="5" t="s">
        <v>70</v>
      </c>
      <c r="D38" s="5" t="s">
        <v>71</v>
      </c>
      <c r="E38" s="5" t="s">
        <v>72</v>
      </c>
      <c r="F38" s="5">
        <v>0.271</v>
      </c>
      <c r="G38" s="5">
        <v>0.339</v>
      </c>
      <c r="H38" s="5">
        <v>0.441</v>
      </c>
      <c r="I38" s="5" t="s">
        <v>73</v>
      </c>
    </row>
    <row r="39" spans="1:9">
      <c r="A39" s="5">
        <v>3</v>
      </c>
      <c r="B39" s="5" t="s">
        <v>144</v>
      </c>
      <c r="C39" s="5" t="s">
        <v>75</v>
      </c>
      <c r="D39" s="5" t="s">
        <v>76</v>
      </c>
      <c r="E39" s="5" t="s">
        <v>72</v>
      </c>
      <c r="F39" s="5">
        <v>0.361</v>
      </c>
      <c r="G39" s="5">
        <v>0.451</v>
      </c>
      <c r="H39" s="5">
        <v>0.586</v>
      </c>
      <c r="I39" s="5" t="s">
        <v>77</v>
      </c>
    </row>
    <row r="40" spans="1:9">
      <c r="A40" s="5">
        <v>3</v>
      </c>
      <c r="B40" s="5" t="s">
        <v>144</v>
      </c>
      <c r="C40" s="5" t="s">
        <v>79</v>
      </c>
      <c r="D40" s="5" t="s">
        <v>80</v>
      </c>
      <c r="E40" s="5" t="s">
        <v>72</v>
      </c>
      <c r="F40" s="5">
        <v>0.632</v>
      </c>
      <c r="G40" s="5">
        <v>0.79</v>
      </c>
      <c r="H40" s="5">
        <v>1.027</v>
      </c>
      <c r="I40" s="5" t="s">
        <v>81</v>
      </c>
    </row>
    <row r="41" spans="1:9">
      <c r="A41" s="5">
        <v>3</v>
      </c>
      <c r="B41" s="5" t="s">
        <v>144</v>
      </c>
      <c r="C41" s="5" t="s">
        <v>83</v>
      </c>
      <c r="D41" s="5" t="s">
        <v>84</v>
      </c>
      <c r="E41" s="5" t="s">
        <v>72</v>
      </c>
      <c r="F41" s="5">
        <v>0.632</v>
      </c>
      <c r="G41" s="5">
        <v>0.79</v>
      </c>
      <c r="H41" s="5">
        <v>1.027</v>
      </c>
      <c r="I41" s="5" t="s">
        <v>85</v>
      </c>
    </row>
    <row r="42" spans="1:9">
      <c r="A42" s="5">
        <v>3</v>
      </c>
      <c r="B42" s="5" t="s">
        <v>144</v>
      </c>
      <c r="C42" s="5" t="s">
        <v>87</v>
      </c>
      <c r="D42" s="5" t="s">
        <v>88</v>
      </c>
      <c r="E42" s="5" t="s">
        <v>72</v>
      </c>
      <c r="F42" s="5">
        <v>0.542</v>
      </c>
      <c r="G42" s="5">
        <v>0.677</v>
      </c>
      <c r="H42" s="5">
        <v>0.88</v>
      </c>
      <c r="I42" s="5" t="s">
        <v>89</v>
      </c>
    </row>
    <row r="43" spans="1:9">
      <c r="A43" s="5">
        <v>3</v>
      </c>
      <c r="B43" s="5" t="s">
        <v>144</v>
      </c>
      <c r="C43" s="5" t="s">
        <v>91</v>
      </c>
      <c r="D43" s="5" t="s">
        <v>92</v>
      </c>
      <c r="E43" s="5" t="s">
        <v>72</v>
      </c>
      <c r="F43" s="5">
        <v>0.587</v>
      </c>
      <c r="G43" s="5">
        <v>0.734</v>
      </c>
      <c r="H43" s="5">
        <v>0.954</v>
      </c>
      <c r="I43" s="5" t="s">
        <v>93</v>
      </c>
    </row>
    <row r="44" spans="1:9">
      <c r="A44" s="5">
        <v>3</v>
      </c>
      <c r="B44" s="5" t="s">
        <v>144</v>
      </c>
      <c r="C44" s="5" t="s">
        <v>95</v>
      </c>
      <c r="D44" s="5" t="s">
        <v>96</v>
      </c>
      <c r="E44" s="5" t="s">
        <v>72</v>
      </c>
      <c r="F44" s="5">
        <v>0.722</v>
      </c>
      <c r="G44" s="5">
        <v>0.903</v>
      </c>
      <c r="H44" s="5">
        <v>1.174</v>
      </c>
      <c r="I44" s="5" t="s">
        <v>97</v>
      </c>
    </row>
    <row r="45" spans="1:9">
      <c r="A45" s="5">
        <v>3</v>
      </c>
      <c r="B45" s="5" t="s">
        <v>144</v>
      </c>
      <c r="C45" s="5" t="s">
        <v>99</v>
      </c>
      <c r="D45" s="5" t="s">
        <v>100</v>
      </c>
      <c r="E45" s="5" t="s">
        <v>72</v>
      </c>
      <c r="F45" s="5">
        <v>0.542</v>
      </c>
      <c r="G45" s="5">
        <v>0.677</v>
      </c>
      <c r="H45" s="5">
        <v>0.88</v>
      </c>
      <c r="I45" s="5" t="s">
        <v>101</v>
      </c>
    </row>
    <row r="46" spans="1:9">
      <c r="A46" s="5">
        <v>3</v>
      </c>
      <c r="B46" s="5" t="s">
        <v>144</v>
      </c>
      <c r="C46" s="5" t="s">
        <v>103</v>
      </c>
      <c r="D46" s="5" t="s">
        <v>104</v>
      </c>
      <c r="E46" s="5" t="s">
        <v>72</v>
      </c>
      <c r="F46" s="5">
        <v>0.406</v>
      </c>
      <c r="G46" s="5">
        <v>0.508</v>
      </c>
      <c r="H46" s="5">
        <v>0.66</v>
      </c>
      <c r="I46" s="5" t="s">
        <v>105</v>
      </c>
    </row>
    <row r="47" spans="1:9">
      <c r="A47" s="5">
        <v>3</v>
      </c>
      <c r="B47" s="5" t="s">
        <v>144</v>
      </c>
      <c r="C47" s="5" t="s">
        <v>107</v>
      </c>
      <c r="D47" s="5" t="s">
        <v>108</v>
      </c>
      <c r="E47" s="5" t="s">
        <v>72</v>
      </c>
      <c r="F47" s="5">
        <v>0.451</v>
      </c>
      <c r="G47" s="5">
        <v>0.5639999999999999</v>
      </c>
      <c r="H47" s="5">
        <v>0.733</v>
      </c>
      <c r="I47" s="5" t="s">
        <v>109</v>
      </c>
    </row>
    <row r="48" spans="1:9">
      <c r="A48" s="5">
        <v>3</v>
      </c>
      <c r="B48" s="5" t="s">
        <v>144</v>
      </c>
      <c r="C48" s="5" t="s">
        <v>111</v>
      </c>
      <c r="D48" s="5" t="s">
        <v>112</v>
      </c>
      <c r="E48" s="5" t="s">
        <v>72</v>
      </c>
      <c r="F48" s="5">
        <v>0.181</v>
      </c>
      <c r="G48" s="5">
        <v>0.226</v>
      </c>
      <c r="H48" s="5">
        <v>0.294</v>
      </c>
      <c r="I48" s="5" t="s">
        <v>113</v>
      </c>
    </row>
    <row r="49" spans="1:9">
      <c r="A49" s="5">
        <v>3</v>
      </c>
      <c r="B49" s="5" t="s">
        <v>144</v>
      </c>
      <c r="C49" s="5" t="s">
        <v>115</v>
      </c>
      <c r="D49" s="5" t="s">
        <v>116</v>
      </c>
      <c r="E49" s="5" t="s">
        <v>117</v>
      </c>
      <c r="F49" s="5">
        <v>0.316</v>
      </c>
      <c r="G49" s="5">
        <v>0.395</v>
      </c>
      <c r="H49" s="5">
        <v>0.514</v>
      </c>
      <c r="I49" s="5" t="s">
        <v>118</v>
      </c>
    </row>
    <row r="50" spans="1:9">
      <c r="A50" s="5">
        <v>3</v>
      </c>
      <c r="B50" s="5" t="s">
        <v>144</v>
      </c>
      <c r="C50" s="5" t="s">
        <v>120</v>
      </c>
      <c r="D50" s="5" t="s">
        <v>121</v>
      </c>
      <c r="E50" s="5" t="s">
        <v>117</v>
      </c>
      <c r="F50" s="5">
        <v>0.316</v>
      </c>
      <c r="G50" s="5">
        <v>0.395</v>
      </c>
      <c r="H50" s="5">
        <v>0.514</v>
      </c>
      <c r="I50" s="5" t="s">
        <v>122</v>
      </c>
    </row>
    <row r="51" spans="1:9">
      <c r="A51" s="5">
        <v>3</v>
      </c>
      <c r="B51" s="5" t="s">
        <v>144</v>
      </c>
      <c r="C51" s="5" t="s">
        <v>124</v>
      </c>
      <c r="D51" s="5" t="s">
        <v>125</v>
      </c>
      <c r="E51" s="5" t="s">
        <v>117</v>
      </c>
      <c r="F51" s="5">
        <v>0.135</v>
      </c>
      <c r="G51" s="5">
        <v>0.169</v>
      </c>
      <c r="H51" s="5">
        <v>0.22</v>
      </c>
      <c r="I51" s="5" t="s">
        <v>126</v>
      </c>
    </row>
    <row r="52" spans="1:9">
      <c r="A52" s="5">
        <v>3</v>
      </c>
      <c r="B52" s="5" t="s">
        <v>144</v>
      </c>
      <c r="C52" s="5" t="s">
        <v>128</v>
      </c>
      <c r="D52" s="5" t="s">
        <v>129</v>
      </c>
      <c r="E52" s="5" t="s">
        <v>130</v>
      </c>
      <c r="F52" s="5">
        <v>0.271</v>
      </c>
      <c r="G52" s="5">
        <v>0.339</v>
      </c>
      <c r="H52" s="5">
        <v>0.441</v>
      </c>
      <c r="I52" s="5" t="s">
        <v>131</v>
      </c>
    </row>
    <row r="53" spans="1:9">
      <c r="A53" s="5">
        <v>3</v>
      </c>
      <c r="B53" s="5" t="s">
        <v>144</v>
      </c>
      <c r="C53" s="5" t="s">
        <v>133</v>
      </c>
      <c r="D53" s="5" t="s">
        <v>134</v>
      </c>
      <c r="E53" s="5" t="s">
        <v>130</v>
      </c>
      <c r="F53" s="5">
        <v>0.135</v>
      </c>
      <c r="G53" s="5">
        <v>0.169</v>
      </c>
      <c r="H53" s="5">
        <v>0.22</v>
      </c>
      <c r="I53" s="5" t="s">
        <v>135</v>
      </c>
    </row>
    <row r="54" spans="1:9">
      <c r="A54" s="5">
        <v>4</v>
      </c>
      <c r="B54" s="5" t="s">
        <v>145</v>
      </c>
      <c r="C54" s="5" t="s">
        <v>70</v>
      </c>
      <c r="D54" s="5" t="s">
        <v>71</v>
      </c>
      <c r="E54" s="5" t="s">
        <v>72</v>
      </c>
      <c r="F54" s="5">
        <v>0.237</v>
      </c>
      <c r="G54" s="5">
        <v>0.339</v>
      </c>
      <c r="H54" s="5">
        <v>0.509</v>
      </c>
      <c r="I54" s="5" t="s">
        <v>73</v>
      </c>
    </row>
    <row r="55" spans="1:9">
      <c r="A55" s="5">
        <v>4</v>
      </c>
      <c r="B55" s="5" t="s">
        <v>145</v>
      </c>
      <c r="C55" s="5" t="s">
        <v>75</v>
      </c>
      <c r="D55" s="5" t="s">
        <v>76</v>
      </c>
      <c r="E55" s="5" t="s">
        <v>72</v>
      </c>
      <c r="F55" s="5">
        <v>0.316</v>
      </c>
      <c r="G55" s="5">
        <v>0.451</v>
      </c>
      <c r="H55" s="5">
        <v>0.676</v>
      </c>
      <c r="I55" s="5" t="s">
        <v>77</v>
      </c>
    </row>
    <row r="56" spans="1:9">
      <c r="A56" s="5">
        <v>4</v>
      </c>
      <c r="B56" s="5" t="s">
        <v>145</v>
      </c>
      <c r="C56" s="5" t="s">
        <v>79</v>
      </c>
      <c r="D56" s="5" t="s">
        <v>80</v>
      </c>
      <c r="E56" s="5" t="s">
        <v>72</v>
      </c>
      <c r="F56" s="5">
        <v>0.553</v>
      </c>
      <c r="G56" s="5">
        <v>0.79</v>
      </c>
      <c r="H56" s="5">
        <v>1.185</v>
      </c>
      <c r="I56" s="5" t="s">
        <v>81</v>
      </c>
    </row>
    <row r="57" spans="1:9">
      <c r="A57" s="5">
        <v>4</v>
      </c>
      <c r="B57" s="5" t="s">
        <v>145</v>
      </c>
      <c r="C57" s="5" t="s">
        <v>83</v>
      </c>
      <c r="D57" s="5" t="s">
        <v>84</v>
      </c>
      <c r="E57" s="5" t="s">
        <v>72</v>
      </c>
      <c r="F57" s="5">
        <v>0.553</v>
      </c>
      <c r="G57" s="5">
        <v>0.79</v>
      </c>
      <c r="H57" s="5">
        <v>1.185</v>
      </c>
      <c r="I57" s="5" t="s">
        <v>85</v>
      </c>
    </row>
    <row r="58" spans="1:9">
      <c r="A58" s="5">
        <v>4</v>
      </c>
      <c r="B58" s="5" t="s">
        <v>145</v>
      </c>
      <c r="C58" s="5" t="s">
        <v>87</v>
      </c>
      <c r="D58" s="5" t="s">
        <v>88</v>
      </c>
      <c r="E58" s="5" t="s">
        <v>72</v>
      </c>
      <c r="F58" s="5">
        <v>0.474</v>
      </c>
      <c r="G58" s="5">
        <v>0.677</v>
      </c>
      <c r="H58" s="5">
        <v>1.016</v>
      </c>
      <c r="I58" s="5" t="s">
        <v>89</v>
      </c>
    </row>
    <row r="59" spans="1:9">
      <c r="A59" s="5">
        <v>4</v>
      </c>
      <c r="B59" s="5" t="s">
        <v>145</v>
      </c>
      <c r="C59" s="5" t="s">
        <v>91</v>
      </c>
      <c r="D59" s="5" t="s">
        <v>92</v>
      </c>
      <c r="E59" s="5" t="s">
        <v>72</v>
      </c>
      <c r="F59" s="5">
        <v>0.514</v>
      </c>
      <c r="G59" s="5">
        <v>0.734</v>
      </c>
      <c r="H59" s="5">
        <v>1.101</v>
      </c>
      <c r="I59" s="5" t="s">
        <v>93</v>
      </c>
    </row>
    <row r="60" spans="1:9">
      <c r="A60" s="5">
        <v>4</v>
      </c>
      <c r="B60" s="5" t="s">
        <v>145</v>
      </c>
      <c r="C60" s="5" t="s">
        <v>95</v>
      </c>
      <c r="D60" s="5" t="s">
        <v>96</v>
      </c>
      <c r="E60" s="5" t="s">
        <v>72</v>
      </c>
      <c r="F60" s="5">
        <v>0.632</v>
      </c>
      <c r="G60" s="5">
        <v>0.903</v>
      </c>
      <c r="H60" s="5">
        <v>1.355</v>
      </c>
      <c r="I60" s="5" t="s">
        <v>97</v>
      </c>
    </row>
    <row r="61" spans="1:9">
      <c r="A61" s="5">
        <v>4</v>
      </c>
      <c r="B61" s="5" t="s">
        <v>145</v>
      </c>
      <c r="C61" s="5" t="s">
        <v>99</v>
      </c>
      <c r="D61" s="5" t="s">
        <v>100</v>
      </c>
      <c r="E61" s="5" t="s">
        <v>72</v>
      </c>
      <c r="F61" s="5">
        <v>0.474</v>
      </c>
      <c r="G61" s="5">
        <v>0.677</v>
      </c>
      <c r="H61" s="5">
        <v>1.016</v>
      </c>
      <c r="I61" s="5" t="s">
        <v>101</v>
      </c>
    </row>
    <row r="62" spans="1:9">
      <c r="A62" s="5">
        <v>4</v>
      </c>
      <c r="B62" s="5" t="s">
        <v>145</v>
      </c>
      <c r="C62" s="5" t="s">
        <v>103</v>
      </c>
      <c r="D62" s="5" t="s">
        <v>104</v>
      </c>
      <c r="E62" s="5" t="s">
        <v>72</v>
      </c>
      <c r="F62" s="5">
        <v>0.356</v>
      </c>
      <c r="G62" s="5">
        <v>0.508</v>
      </c>
      <c r="H62" s="5">
        <v>0.762</v>
      </c>
      <c r="I62" s="5" t="s">
        <v>105</v>
      </c>
    </row>
    <row r="63" spans="1:9">
      <c r="A63" s="5">
        <v>4</v>
      </c>
      <c r="B63" s="5" t="s">
        <v>145</v>
      </c>
      <c r="C63" s="5" t="s">
        <v>107</v>
      </c>
      <c r="D63" s="5" t="s">
        <v>108</v>
      </c>
      <c r="E63" s="5" t="s">
        <v>72</v>
      </c>
      <c r="F63" s="5">
        <v>0.395</v>
      </c>
      <c r="G63" s="5">
        <v>0.5639999999999999</v>
      </c>
      <c r="H63" s="5">
        <v>0.846</v>
      </c>
      <c r="I63" s="5" t="s">
        <v>109</v>
      </c>
    </row>
    <row r="64" spans="1:9">
      <c r="A64" s="5">
        <v>4</v>
      </c>
      <c r="B64" s="5" t="s">
        <v>145</v>
      </c>
      <c r="C64" s="5" t="s">
        <v>111</v>
      </c>
      <c r="D64" s="5" t="s">
        <v>112</v>
      </c>
      <c r="E64" s="5" t="s">
        <v>72</v>
      </c>
      <c r="F64" s="5">
        <v>0.158</v>
      </c>
      <c r="G64" s="5">
        <v>0.226</v>
      </c>
      <c r="H64" s="5">
        <v>0.339</v>
      </c>
      <c r="I64" s="5" t="s">
        <v>113</v>
      </c>
    </row>
    <row r="65" spans="1:9">
      <c r="A65" s="5">
        <v>4</v>
      </c>
      <c r="B65" s="5" t="s">
        <v>145</v>
      </c>
      <c r="C65" s="5" t="s">
        <v>115</v>
      </c>
      <c r="D65" s="5" t="s">
        <v>116</v>
      </c>
      <c r="E65" s="5" t="s">
        <v>117</v>
      </c>
      <c r="F65" s="5">
        <v>0.276</v>
      </c>
      <c r="G65" s="5">
        <v>0.395</v>
      </c>
      <c r="H65" s="5">
        <v>0.593</v>
      </c>
      <c r="I65" s="5" t="s">
        <v>118</v>
      </c>
    </row>
    <row r="66" spans="1:9">
      <c r="A66" s="5">
        <v>4</v>
      </c>
      <c r="B66" s="5" t="s">
        <v>145</v>
      </c>
      <c r="C66" s="5" t="s">
        <v>120</v>
      </c>
      <c r="D66" s="5" t="s">
        <v>121</v>
      </c>
      <c r="E66" s="5" t="s">
        <v>117</v>
      </c>
      <c r="F66" s="5">
        <v>0.276</v>
      </c>
      <c r="G66" s="5">
        <v>0.395</v>
      </c>
      <c r="H66" s="5">
        <v>0.593</v>
      </c>
      <c r="I66" s="5" t="s">
        <v>122</v>
      </c>
    </row>
    <row r="67" spans="1:9">
      <c r="A67" s="5">
        <v>4</v>
      </c>
      <c r="B67" s="5" t="s">
        <v>145</v>
      </c>
      <c r="C67" s="5" t="s">
        <v>124</v>
      </c>
      <c r="D67" s="5" t="s">
        <v>125</v>
      </c>
      <c r="E67" s="5" t="s">
        <v>117</v>
      </c>
      <c r="F67" s="5">
        <v>0.118</v>
      </c>
      <c r="G67" s="5">
        <v>0.169</v>
      </c>
      <c r="H67" s="5">
        <v>0.254</v>
      </c>
      <c r="I67" s="5" t="s">
        <v>126</v>
      </c>
    </row>
    <row r="68" spans="1:9">
      <c r="A68" s="5">
        <v>4</v>
      </c>
      <c r="B68" s="5" t="s">
        <v>145</v>
      </c>
      <c r="C68" s="5" t="s">
        <v>128</v>
      </c>
      <c r="D68" s="5" t="s">
        <v>129</v>
      </c>
      <c r="E68" s="5" t="s">
        <v>130</v>
      </c>
      <c r="F68" s="5">
        <v>0.237</v>
      </c>
      <c r="G68" s="5">
        <v>0.339</v>
      </c>
      <c r="H68" s="5">
        <v>0.509</v>
      </c>
      <c r="I68" s="5" t="s">
        <v>131</v>
      </c>
    </row>
    <row r="69" spans="1:9">
      <c r="A69" s="5">
        <v>4</v>
      </c>
      <c r="B69" s="5" t="s">
        <v>145</v>
      </c>
      <c r="C69" s="5" t="s">
        <v>133</v>
      </c>
      <c r="D69" s="5" t="s">
        <v>134</v>
      </c>
      <c r="E69" s="5" t="s">
        <v>130</v>
      </c>
      <c r="F69" s="5">
        <v>0.118</v>
      </c>
      <c r="G69" s="5">
        <v>0.169</v>
      </c>
      <c r="H69" s="5">
        <v>0.254</v>
      </c>
      <c r="I69" s="5" t="s">
        <v>135</v>
      </c>
    </row>
    <row r="70" spans="1:9">
      <c r="A70" s="5">
        <v>5</v>
      </c>
      <c r="B70" s="5" t="s">
        <v>146</v>
      </c>
      <c r="C70" s="5" t="s">
        <v>70</v>
      </c>
      <c r="D70" s="5" t="s">
        <v>71</v>
      </c>
      <c r="E70" s="5" t="s">
        <v>72</v>
      </c>
      <c r="F70" s="5">
        <v>0.17</v>
      </c>
      <c r="G70" s="5">
        <v>0.339</v>
      </c>
      <c r="H70" s="5">
        <v>0.678</v>
      </c>
      <c r="I70" s="5" t="s">
        <v>73</v>
      </c>
    </row>
    <row r="71" spans="1:9">
      <c r="A71" s="5">
        <v>5</v>
      </c>
      <c r="B71" s="5" t="s">
        <v>146</v>
      </c>
      <c r="C71" s="5" t="s">
        <v>75</v>
      </c>
      <c r="D71" s="5" t="s">
        <v>76</v>
      </c>
      <c r="E71" s="5" t="s">
        <v>72</v>
      </c>
      <c r="F71" s="5">
        <v>0.226</v>
      </c>
      <c r="G71" s="5">
        <v>0.451</v>
      </c>
      <c r="H71" s="5">
        <v>0.902</v>
      </c>
      <c r="I71" s="5" t="s">
        <v>77</v>
      </c>
    </row>
    <row r="72" spans="1:9">
      <c r="A72" s="5">
        <v>5</v>
      </c>
      <c r="B72" s="5" t="s">
        <v>146</v>
      </c>
      <c r="C72" s="5" t="s">
        <v>79</v>
      </c>
      <c r="D72" s="5" t="s">
        <v>80</v>
      </c>
      <c r="E72" s="5" t="s">
        <v>72</v>
      </c>
      <c r="F72" s="5">
        <v>0.395</v>
      </c>
      <c r="G72" s="5">
        <v>0.79</v>
      </c>
      <c r="H72" s="5">
        <v>1.58</v>
      </c>
      <c r="I72" s="5" t="s">
        <v>81</v>
      </c>
    </row>
    <row r="73" spans="1:9">
      <c r="A73" s="5">
        <v>5</v>
      </c>
      <c r="B73" s="5" t="s">
        <v>146</v>
      </c>
      <c r="C73" s="5" t="s">
        <v>83</v>
      </c>
      <c r="D73" s="5" t="s">
        <v>84</v>
      </c>
      <c r="E73" s="5" t="s">
        <v>72</v>
      </c>
      <c r="F73" s="5">
        <v>0.395</v>
      </c>
      <c r="G73" s="5">
        <v>0.79</v>
      </c>
      <c r="H73" s="5">
        <v>1.58</v>
      </c>
      <c r="I73" s="5" t="s">
        <v>85</v>
      </c>
    </row>
    <row r="74" spans="1:9">
      <c r="A74" s="5">
        <v>5</v>
      </c>
      <c r="B74" s="5" t="s">
        <v>146</v>
      </c>
      <c r="C74" s="5" t="s">
        <v>87</v>
      </c>
      <c r="D74" s="5" t="s">
        <v>88</v>
      </c>
      <c r="E74" s="5" t="s">
        <v>72</v>
      </c>
      <c r="F74" s="5">
        <v>0.339</v>
      </c>
      <c r="G74" s="5">
        <v>0.677</v>
      </c>
      <c r="H74" s="5">
        <v>1.354</v>
      </c>
      <c r="I74" s="5" t="s">
        <v>89</v>
      </c>
    </row>
    <row r="75" spans="1:9">
      <c r="A75" s="5">
        <v>5</v>
      </c>
      <c r="B75" s="5" t="s">
        <v>146</v>
      </c>
      <c r="C75" s="5" t="s">
        <v>91</v>
      </c>
      <c r="D75" s="5" t="s">
        <v>92</v>
      </c>
      <c r="E75" s="5" t="s">
        <v>72</v>
      </c>
      <c r="F75" s="5">
        <v>0.367</v>
      </c>
      <c r="G75" s="5">
        <v>0.734</v>
      </c>
      <c r="H75" s="5">
        <v>1.468</v>
      </c>
      <c r="I75" s="5" t="s">
        <v>93</v>
      </c>
    </row>
    <row r="76" spans="1:9">
      <c r="A76" s="5">
        <v>5</v>
      </c>
      <c r="B76" s="5" t="s">
        <v>146</v>
      </c>
      <c r="C76" s="5" t="s">
        <v>95</v>
      </c>
      <c r="D76" s="5" t="s">
        <v>96</v>
      </c>
      <c r="E76" s="5" t="s">
        <v>72</v>
      </c>
      <c r="F76" s="5">
        <v>0.452</v>
      </c>
      <c r="G76" s="5">
        <v>0.903</v>
      </c>
      <c r="H76" s="5">
        <v>1.806</v>
      </c>
      <c r="I76" s="5" t="s">
        <v>97</v>
      </c>
    </row>
    <row r="77" spans="1:9">
      <c r="A77" s="5">
        <v>5</v>
      </c>
      <c r="B77" s="5" t="s">
        <v>146</v>
      </c>
      <c r="C77" s="5" t="s">
        <v>99</v>
      </c>
      <c r="D77" s="5" t="s">
        <v>100</v>
      </c>
      <c r="E77" s="5" t="s">
        <v>72</v>
      </c>
      <c r="F77" s="5">
        <v>0.339</v>
      </c>
      <c r="G77" s="5">
        <v>0.677</v>
      </c>
      <c r="H77" s="5">
        <v>1.354</v>
      </c>
      <c r="I77" s="5" t="s">
        <v>101</v>
      </c>
    </row>
    <row r="78" spans="1:9">
      <c r="A78" s="5">
        <v>5</v>
      </c>
      <c r="B78" s="5" t="s">
        <v>146</v>
      </c>
      <c r="C78" s="5" t="s">
        <v>103</v>
      </c>
      <c r="D78" s="5" t="s">
        <v>104</v>
      </c>
      <c r="E78" s="5" t="s">
        <v>72</v>
      </c>
      <c r="F78" s="5">
        <v>0.254</v>
      </c>
      <c r="G78" s="5">
        <v>0.508</v>
      </c>
      <c r="H78" s="5">
        <v>1.016</v>
      </c>
      <c r="I78" s="5" t="s">
        <v>105</v>
      </c>
    </row>
    <row r="79" spans="1:9">
      <c r="A79" s="5">
        <v>5</v>
      </c>
      <c r="B79" s="5" t="s">
        <v>146</v>
      </c>
      <c r="C79" s="5" t="s">
        <v>107</v>
      </c>
      <c r="D79" s="5" t="s">
        <v>108</v>
      </c>
      <c r="E79" s="5" t="s">
        <v>72</v>
      </c>
      <c r="F79" s="5">
        <v>0.282</v>
      </c>
      <c r="G79" s="5">
        <v>0.5639999999999999</v>
      </c>
      <c r="H79" s="5">
        <v>1.128</v>
      </c>
      <c r="I79" s="5" t="s">
        <v>109</v>
      </c>
    </row>
    <row r="80" spans="1:9">
      <c r="A80" s="5">
        <v>5</v>
      </c>
      <c r="B80" s="5" t="s">
        <v>146</v>
      </c>
      <c r="C80" s="5" t="s">
        <v>111</v>
      </c>
      <c r="D80" s="5" t="s">
        <v>112</v>
      </c>
      <c r="E80" s="5" t="s">
        <v>72</v>
      </c>
      <c r="F80" s="5">
        <v>0.113</v>
      </c>
      <c r="G80" s="5">
        <v>0.226</v>
      </c>
      <c r="H80" s="5">
        <v>0.452</v>
      </c>
      <c r="I80" s="5" t="s">
        <v>113</v>
      </c>
    </row>
    <row r="81" spans="1:9">
      <c r="A81" s="5">
        <v>5</v>
      </c>
      <c r="B81" s="5" t="s">
        <v>146</v>
      </c>
      <c r="C81" s="5" t="s">
        <v>115</v>
      </c>
      <c r="D81" s="5" t="s">
        <v>116</v>
      </c>
      <c r="E81" s="5" t="s">
        <v>117</v>
      </c>
      <c r="F81" s="5">
        <v>0.198</v>
      </c>
      <c r="G81" s="5">
        <v>0.395</v>
      </c>
      <c r="H81" s="5">
        <v>0.79</v>
      </c>
      <c r="I81" s="5" t="s">
        <v>118</v>
      </c>
    </row>
    <row r="82" spans="1:9">
      <c r="A82" s="5">
        <v>5</v>
      </c>
      <c r="B82" s="5" t="s">
        <v>146</v>
      </c>
      <c r="C82" s="5" t="s">
        <v>120</v>
      </c>
      <c r="D82" s="5" t="s">
        <v>121</v>
      </c>
      <c r="E82" s="5" t="s">
        <v>117</v>
      </c>
      <c r="F82" s="5">
        <v>0.198</v>
      </c>
      <c r="G82" s="5">
        <v>0.395</v>
      </c>
      <c r="H82" s="5">
        <v>0.79</v>
      </c>
      <c r="I82" s="5" t="s">
        <v>122</v>
      </c>
    </row>
    <row r="83" spans="1:9">
      <c r="A83" s="5">
        <v>5</v>
      </c>
      <c r="B83" s="5" t="s">
        <v>146</v>
      </c>
      <c r="C83" s="5" t="s">
        <v>124</v>
      </c>
      <c r="D83" s="5" t="s">
        <v>125</v>
      </c>
      <c r="E83" s="5" t="s">
        <v>117</v>
      </c>
      <c r="F83" s="5">
        <v>0.08500000000000001</v>
      </c>
      <c r="G83" s="5">
        <v>0.169</v>
      </c>
      <c r="H83" s="5">
        <v>0.338</v>
      </c>
      <c r="I83" s="5" t="s">
        <v>126</v>
      </c>
    </row>
    <row r="84" spans="1:9">
      <c r="A84" s="5">
        <v>5</v>
      </c>
      <c r="B84" s="5" t="s">
        <v>146</v>
      </c>
      <c r="C84" s="5" t="s">
        <v>128</v>
      </c>
      <c r="D84" s="5" t="s">
        <v>129</v>
      </c>
      <c r="E84" s="5" t="s">
        <v>130</v>
      </c>
      <c r="F84" s="5">
        <v>0.17</v>
      </c>
      <c r="G84" s="5">
        <v>0.339</v>
      </c>
      <c r="H84" s="5">
        <v>0.678</v>
      </c>
      <c r="I84" s="5" t="s">
        <v>131</v>
      </c>
    </row>
    <row r="85" spans="1:9">
      <c r="A85" s="5">
        <v>5</v>
      </c>
      <c r="B85" s="5" t="s">
        <v>146</v>
      </c>
      <c r="C85" s="5" t="s">
        <v>133</v>
      </c>
      <c r="D85" s="5" t="s">
        <v>134</v>
      </c>
      <c r="E85" s="5" t="s">
        <v>130</v>
      </c>
      <c r="F85" s="5">
        <v>0.08500000000000001</v>
      </c>
      <c r="G85" s="5">
        <v>0.169</v>
      </c>
      <c r="H85" s="5">
        <v>0.338</v>
      </c>
      <c r="I85" s="5" t="s">
        <v>135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4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26.7109375" customWidth="1"/>
    <col min="4" max="5" width="36.7109375" customWidth="1"/>
    <col min="6" max="6" width="42.7109375" customWidth="1"/>
    <col min="7" max="7" width="18.7109375" customWidth="1"/>
    <col min="8" max="8" width="42.7109375" customWidth="1"/>
    <col min="9" max="9" width="26.7109375" customWidth="1"/>
    <col min="10" max="10" width="12.7109375" style="10" customWidth="1"/>
    <col min="11" max="13" width="12.7109375" customWidth="1"/>
    <col min="14" max="16" width="14.7109375" customWidth="1"/>
    <col min="17" max="17" width="12.7109375" customWidth="1"/>
    <col min="18" max="18" width="14.7109375" customWidth="1"/>
    <col min="19" max="19" width="12.7109375" customWidth="1"/>
  </cols>
  <sheetData>
    <row r="1" spans="1:19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5" spans="1:19">
      <c r="A5" s="7" t="s">
        <v>148</v>
      </c>
      <c r="B5" s="7" t="s">
        <v>149</v>
      </c>
      <c r="C5" s="7" t="s">
        <v>12</v>
      </c>
      <c r="D5" s="7" t="s">
        <v>150</v>
      </c>
      <c r="E5" s="7" t="s">
        <v>151</v>
      </c>
      <c r="F5" s="7" t="s">
        <v>152</v>
      </c>
      <c r="G5" s="7" t="s">
        <v>153</v>
      </c>
      <c r="H5" s="7" t="s">
        <v>154</v>
      </c>
      <c r="I5" s="7" t="s">
        <v>155</v>
      </c>
      <c r="J5" s="7" t="s">
        <v>156</v>
      </c>
      <c r="K5" s="7" t="s">
        <v>157</v>
      </c>
      <c r="L5" s="7" t="s">
        <v>158</v>
      </c>
      <c r="M5" s="7" t="s">
        <v>159</v>
      </c>
      <c r="N5" s="7" t="s">
        <v>160</v>
      </c>
      <c r="O5" s="7" t="s">
        <v>161</v>
      </c>
      <c r="P5" s="7" t="s">
        <v>162</v>
      </c>
      <c r="Q5" s="7" t="s">
        <v>163</v>
      </c>
      <c r="R5" s="7" t="s">
        <v>164</v>
      </c>
      <c r="S5" s="7" t="s">
        <v>165</v>
      </c>
    </row>
    <row r="6" spans="1:19">
      <c r="A6" s="5" t="s">
        <v>166</v>
      </c>
      <c r="B6" s="5" t="s">
        <v>167</v>
      </c>
      <c r="C6" s="5" t="s">
        <v>168</v>
      </c>
      <c r="D6" s="5" t="s">
        <v>169</v>
      </c>
      <c r="E6" s="5" t="s">
        <v>170</v>
      </c>
      <c r="F6" s="5" t="s">
        <v>171</v>
      </c>
      <c r="G6" s="5" t="s">
        <v>172</v>
      </c>
      <c r="H6" s="5" t="s">
        <v>173</v>
      </c>
      <c r="I6" s="5" t="s">
        <v>174</v>
      </c>
      <c r="J6" s="5">
        <v>0.49</v>
      </c>
      <c r="K6" s="5">
        <v>0.03</v>
      </c>
      <c r="L6" s="5">
        <v>0.067</v>
      </c>
      <c r="M6" s="5">
        <v>0.151</v>
      </c>
      <c r="N6" s="5">
        <v>16.8</v>
      </c>
      <c r="O6" s="5">
        <v>42</v>
      </c>
      <c r="P6" s="5">
        <v>96.59999999999999</v>
      </c>
      <c r="Q6" s="5">
        <v>0.042</v>
      </c>
      <c r="R6" s="5">
        <v>26.1</v>
      </c>
      <c r="S6" s="5" t="s">
        <v>175</v>
      </c>
    </row>
    <row r="7" spans="1:19">
      <c r="A7" s="5" t="s">
        <v>176</v>
      </c>
      <c r="B7" s="5" t="s">
        <v>167</v>
      </c>
      <c r="C7" s="5" t="s">
        <v>177</v>
      </c>
      <c r="D7" s="5" t="s">
        <v>178</v>
      </c>
      <c r="E7" s="5" t="s">
        <v>179</v>
      </c>
      <c r="F7" s="5" t="s">
        <v>180</v>
      </c>
      <c r="G7" s="5" t="s">
        <v>181</v>
      </c>
      <c r="H7" s="5" t="s">
        <v>182</v>
      </c>
      <c r="I7" s="5" t="s">
        <v>183</v>
      </c>
      <c r="J7" s="5">
        <v>0.44</v>
      </c>
      <c r="K7" s="5">
        <v>0.045</v>
      </c>
      <c r="L7" s="5">
        <v>0.101</v>
      </c>
      <c r="M7" s="5">
        <v>0.227</v>
      </c>
      <c r="N7" s="5">
        <v>14.8</v>
      </c>
      <c r="O7" s="5">
        <v>37</v>
      </c>
      <c r="P7" s="5">
        <v>85.09999999999999</v>
      </c>
      <c r="Q7" s="5">
        <v>0.056</v>
      </c>
      <c r="R7" s="5">
        <v>20.7</v>
      </c>
      <c r="S7" s="5" t="s">
        <v>175</v>
      </c>
    </row>
    <row r="8" spans="1:19">
      <c r="A8" s="5" t="s">
        <v>184</v>
      </c>
      <c r="B8" s="5" t="s">
        <v>167</v>
      </c>
      <c r="C8" s="5" t="s">
        <v>185</v>
      </c>
      <c r="D8" s="5" t="s">
        <v>186</v>
      </c>
      <c r="E8" s="5" t="s">
        <v>187</v>
      </c>
      <c r="F8" s="5" t="s">
        <v>188</v>
      </c>
      <c r="G8" s="5" t="s">
        <v>189</v>
      </c>
      <c r="H8" s="5" t="s">
        <v>190</v>
      </c>
      <c r="I8" s="5" t="s">
        <v>191</v>
      </c>
      <c r="J8" s="5">
        <v>0.49</v>
      </c>
      <c r="K8" s="5">
        <v>0.015</v>
      </c>
      <c r="L8" s="5">
        <v>0.034</v>
      </c>
      <c r="M8" s="5">
        <v>0.076</v>
      </c>
      <c r="N8" s="5">
        <v>16.8</v>
      </c>
      <c r="O8" s="5">
        <v>42</v>
      </c>
      <c r="P8" s="5">
        <v>96.59999999999999</v>
      </c>
      <c r="Q8" s="5">
        <v>0.021</v>
      </c>
      <c r="R8" s="5">
        <v>26.1</v>
      </c>
      <c r="S8" s="5" t="s">
        <v>175</v>
      </c>
    </row>
    <row r="9" spans="1:19">
      <c r="A9" s="5" t="s">
        <v>192</v>
      </c>
      <c r="B9" s="5" t="s">
        <v>193</v>
      </c>
      <c r="C9" s="5" t="s">
        <v>194</v>
      </c>
      <c r="D9" s="5" t="s">
        <v>195</v>
      </c>
      <c r="E9" s="5" t="s">
        <v>196</v>
      </c>
      <c r="F9" s="5" t="s">
        <v>197</v>
      </c>
      <c r="G9" s="5" t="s">
        <v>198</v>
      </c>
      <c r="H9" s="5" t="s">
        <v>199</v>
      </c>
      <c r="I9" s="5" t="s">
        <v>200</v>
      </c>
      <c r="J9" s="5">
        <v>0.4</v>
      </c>
      <c r="K9" s="5">
        <v>0.045</v>
      </c>
      <c r="L9" s="5">
        <v>0.101</v>
      </c>
      <c r="M9" s="5">
        <v>0.217</v>
      </c>
      <c r="N9" s="5">
        <v>15.3</v>
      </c>
      <c r="O9" s="5">
        <v>34</v>
      </c>
      <c r="P9" s="5">
        <v>76.5</v>
      </c>
      <c r="Q9" s="5">
        <v>0.05</v>
      </c>
      <c r="R9" s="5">
        <v>17.2</v>
      </c>
      <c r="S9" s="5" t="s">
        <v>175</v>
      </c>
    </row>
    <row r="10" spans="1:19">
      <c r="A10" s="5" t="s">
        <v>201</v>
      </c>
      <c r="B10" s="5" t="s">
        <v>202</v>
      </c>
      <c r="C10" s="5" t="s">
        <v>203</v>
      </c>
      <c r="D10" s="5" t="s">
        <v>204</v>
      </c>
      <c r="E10" s="5" t="s">
        <v>205</v>
      </c>
      <c r="F10" s="5" t="s">
        <v>206</v>
      </c>
      <c r="G10" s="5" t="s">
        <v>207</v>
      </c>
      <c r="H10" s="5" t="s">
        <v>208</v>
      </c>
      <c r="I10" s="5" t="s">
        <v>209</v>
      </c>
      <c r="J10" s="5">
        <v>0.42</v>
      </c>
      <c r="K10" s="5">
        <v>0.055</v>
      </c>
      <c r="L10" s="5">
        <v>0.123</v>
      </c>
      <c r="M10" s="5">
        <v>0.265</v>
      </c>
      <c r="N10" s="5">
        <v>8.1</v>
      </c>
      <c r="O10" s="5">
        <v>18</v>
      </c>
      <c r="P10" s="5">
        <v>40.5</v>
      </c>
      <c r="Q10" s="5">
        <v>0.064</v>
      </c>
      <c r="R10" s="5">
        <v>9.6</v>
      </c>
      <c r="S10" s="5" t="s">
        <v>175</v>
      </c>
    </row>
    <row r="11" spans="1:19">
      <c r="A11" s="5" t="s">
        <v>210</v>
      </c>
      <c r="B11" s="5" t="s">
        <v>167</v>
      </c>
      <c r="C11" s="5" t="s">
        <v>211</v>
      </c>
      <c r="D11" s="5" t="s">
        <v>212</v>
      </c>
      <c r="E11" s="5" t="s">
        <v>213</v>
      </c>
      <c r="F11" s="5" t="s">
        <v>214</v>
      </c>
      <c r="G11" s="5" t="s">
        <v>207</v>
      </c>
      <c r="H11" s="5" t="s">
        <v>215</v>
      </c>
      <c r="I11" s="5" t="s">
        <v>216</v>
      </c>
      <c r="J11" s="5">
        <v>0.44</v>
      </c>
      <c r="K11" s="5">
        <v>0.023</v>
      </c>
      <c r="L11" s="5">
        <v>0.05</v>
      </c>
      <c r="M11" s="5">
        <v>0.113</v>
      </c>
      <c r="N11" s="5">
        <v>14.8</v>
      </c>
      <c r="O11" s="5">
        <v>37</v>
      </c>
      <c r="P11" s="5">
        <v>85.09999999999999</v>
      </c>
      <c r="Q11" s="5">
        <v>0.028</v>
      </c>
      <c r="R11" s="5">
        <v>20.7</v>
      </c>
      <c r="S11" s="5" t="s">
        <v>175</v>
      </c>
    </row>
    <row r="12" spans="1:19">
      <c r="A12" s="5" t="s">
        <v>217</v>
      </c>
      <c r="B12" s="5" t="s">
        <v>218</v>
      </c>
      <c r="C12" s="5" t="s">
        <v>219</v>
      </c>
      <c r="D12" s="5" t="s">
        <v>220</v>
      </c>
      <c r="E12" s="5" t="s">
        <v>221</v>
      </c>
      <c r="F12" s="5" t="s">
        <v>222</v>
      </c>
      <c r="G12" s="5" t="s">
        <v>223</v>
      </c>
      <c r="H12" s="5" t="s">
        <v>224</v>
      </c>
      <c r="I12" s="5" t="s">
        <v>225</v>
      </c>
      <c r="J12" s="5">
        <v>0.38</v>
      </c>
      <c r="K12" s="5">
        <v>0.066</v>
      </c>
      <c r="L12" s="5">
        <v>0.146</v>
      </c>
      <c r="M12" s="5">
        <v>0.313</v>
      </c>
      <c r="N12" s="5">
        <v>9.9</v>
      </c>
      <c r="O12" s="5">
        <v>22</v>
      </c>
      <c r="P12" s="5">
        <v>49.5</v>
      </c>
      <c r="Q12" s="5">
        <v>0.068</v>
      </c>
      <c r="R12" s="5">
        <v>10.6</v>
      </c>
      <c r="S12" s="5" t="s">
        <v>175</v>
      </c>
    </row>
    <row r="13" spans="1:19">
      <c r="A13" s="5" t="s">
        <v>226</v>
      </c>
      <c r="B13" s="5" t="s">
        <v>227</v>
      </c>
      <c r="C13" s="5" t="s">
        <v>228</v>
      </c>
      <c r="D13" s="5" t="s">
        <v>229</v>
      </c>
      <c r="E13" s="5" t="s">
        <v>230</v>
      </c>
      <c r="F13" s="5" t="s">
        <v>231</v>
      </c>
      <c r="G13" s="5" t="s">
        <v>232</v>
      </c>
      <c r="H13" s="5" t="s">
        <v>233</v>
      </c>
      <c r="I13" s="5" t="s">
        <v>234</v>
      </c>
      <c r="J13" s="5">
        <v>0.52</v>
      </c>
      <c r="K13" s="5">
        <v>0.035</v>
      </c>
      <c r="L13" s="5">
        <v>0.078</v>
      </c>
      <c r="M13" s="5">
        <v>0.169</v>
      </c>
      <c r="N13" s="5">
        <v>4.5</v>
      </c>
      <c r="O13" s="5">
        <v>10</v>
      </c>
      <c r="P13" s="5">
        <v>22.5</v>
      </c>
      <c r="Q13" s="5">
        <v>0.05</v>
      </c>
      <c r="R13" s="5">
        <v>6.6</v>
      </c>
      <c r="S13" s="5" t="s">
        <v>175</v>
      </c>
    </row>
    <row r="14" spans="1:19">
      <c r="A14" s="5" t="s">
        <v>235</v>
      </c>
      <c r="B14" s="5" t="s">
        <v>236</v>
      </c>
      <c r="C14" s="5" t="s">
        <v>237</v>
      </c>
      <c r="D14" s="5" t="s">
        <v>238</v>
      </c>
      <c r="E14" s="5" t="s">
        <v>239</v>
      </c>
      <c r="F14" s="5" t="s">
        <v>240</v>
      </c>
      <c r="G14" s="5" t="s">
        <v>189</v>
      </c>
      <c r="H14" s="5" t="s">
        <v>241</v>
      </c>
      <c r="I14" s="5" t="s">
        <v>242</v>
      </c>
      <c r="J14" s="5">
        <v>0.45</v>
      </c>
      <c r="K14" s="5">
        <v>0.045</v>
      </c>
      <c r="L14" s="5">
        <v>0.101</v>
      </c>
      <c r="M14" s="5">
        <v>0.217</v>
      </c>
      <c r="N14" s="5">
        <v>6.3</v>
      </c>
      <c r="O14" s="5">
        <v>14</v>
      </c>
      <c r="P14" s="5">
        <v>31.5</v>
      </c>
      <c r="Q14" s="5">
        <v>0.056</v>
      </c>
      <c r="R14" s="5">
        <v>8</v>
      </c>
      <c r="S14" s="5" t="s">
        <v>175</v>
      </c>
    </row>
    <row r="15" spans="1:19">
      <c r="A15" s="5" t="s">
        <v>243</v>
      </c>
      <c r="B15" s="5" t="s">
        <v>244</v>
      </c>
      <c r="C15" s="5" t="s">
        <v>245</v>
      </c>
      <c r="D15" s="5" t="s">
        <v>246</v>
      </c>
      <c r="E15" s="5" t="s">
        <v>247</v>
      </c>
      <c r="F15" s="5" t="s">
        <v>248</v>
      </c>
      <c r="G15" s="5" t="s">
        <v>249</v>
      </c>
      <c r="H15" s="5" t="s">
        <v>250</v>
      </c>
      <c r="I15" s="5" t="s">
        <v>251</v>
      </c>
      <c r="J15" s="5">
        <v>0.34</v>
      </c>
      <c r="K15" s="5">
        <v>0.055</v>
      </c>
      <c r="L15" s="5">
        <v>0.123</v>
      </c>
      <c r="M15" s="5">
        <v>0.265</v>
      </c>
      <c r="N15" s="5">
        <v>17.1</v>
      </c>
      <c r="O15" s="5">
        <v>38</v>
      </c>
      <c r="P15" s="5">
        <v>85.5</v>
      </c>
      <c r="Q15" s="5">
        <v>0.052</v>
      </c>
      <c r="R15" s="5">
        <v>16.3</v>
      </c>
      <c r="S15" s="5" t="s">
        <v>175</v>
      </c>
    </row>
    <row r="16" spans="1:19">
      <c r="A16" s="5" t="s">
        <v>252</v>
      </c>
      <c r="B16" s="5" t="s">
        <v>167</v>
      </c>
      <c r="C16" s="5" t="s">
        <v>253</v>
      </c>
      <c r="D16" s="5" t="s">
        <v>254</v>
      </c>
      <c r="E16" s="5" t="s">
        <v>255</v>
      </c>
      <c r="F16" s="5" t="s">
        <v>256</v>
      </c>
      <c r="G16" s="5" t="s">
        <v>257</v>
      </c>
      <c r="H16" s="5" t="s">
        <v>258</v>
      </c>
      <c r="I16" s="5" t="s">
        <v>259</v>
      </c>
      <c r="J16" s="5">
        <v>0.39</v>
      </c>
      <c r="K16" s="5">
        <v>0.038</v>
      </c>
      <c r="L16" s="5">
        <v>0.08400000000000001</v>
      </c>
      <c r="M16" s="5">
        <v>0.189</v>
      </c>
      <c r="N16" s="5">
        <v>12.8</v>
      </c>
      <c r="O16" s="5">
        <v>32</v>
      </c>
      <c r="P16" s="5">
        <v>73.59999999999999</v>
      </c>
      <c r="Q16" s="5">
        <v>0.041</v>
      </c>
      <c r="R16" s="5">
        <v>15.8</v>
      </c>
      <c r="S16" s="5" t="s">
        <v>175</v>
      </c>
    </row>
    <row r="17" spans="1:19">
      <c r="A17" s="5" t="s">
        <v>260</v>
      </c>
      <c r="B17" s="5" t="s">
        <v>167</v>
      </c>
      <c r="C17" s="5" t="s">
        <v>261</v>
      </c>
      <c r="D17" s="5" t="s">
        <v>262</v>
      </c>
      <c r="E17" s="5" t="s">
        <v>263</v>
      </c>
      <c r="F17" s="5" t="s">
        <v>264</v>
      </c>
      <c r="G17" s="5" t="s">
        <v>265</v>
      </c>
      <c r="H17" s="5" t="s">
        <v>266</v>
      </c>
      <c r="I17" s="5" t="s">
        <v>267</v>
      </c>
      <c r="J17" s="5">
        <v>0.34</v>
      </c>
      <c r="K17" s="5">
        <v>0.045</v>
      </c>
      <c r="L17" s="5">
        <v>0.101</v>
      </c>
      <c r="M17" s="5">
        <v>0.227</v>
      </c>
      <c r="N17" s="5">
        <v>10.8</v>
      </c>
      <c r="O17" s="5">
        <v>27</v>
      </c>
      <c r="P17" s="5">
        <v>62.1</v>
      </c>
      <c r="Q17" s="5">
        <v>0.043</v>
      </c>
      <c r="R17" s="5">
        <v>11.7</v>
      </c>
      <c r="S17" s="5" t="s">
        <v>175</v>
      </c>
    </row>
    <row r="18" spans="1:19">
      <c r="A18" s="5" t="s">
        <v>268</v>
      </c>
      <c r="B18" s="5" t="s">
        <v>269</v>
      </c>
      <c r="C18" s="5" t="s">
        <v>270</v>
      </c>
      <c r="D18" s="5" t="s">
        <v>271</v>
      </c>
      <c r="E18" s="5" t="s">
        <v>272</v>
      </c>
      <c r="F18" s="5" t="s">
        <v>273</v>
      </c>
      <c r="G18" s="5" t="s">
        <v>274</v>
      </c>
      <c r="H18" s="5" t="s">
        <v>275</v>
      </c>
      <c r="I18" s="5" t="s">
        <v>276</v>
      </c>
      <c r="J18" s="5">
        <v>0.35</v>
      </c>
      <c r="K18" s="5">
        <v>0.035</v>
      </c>
      <c r="L18" s="5">
        <v>0.078</v>
      </c>
      <c r="M18" s="5">
        <v>0.169</v>
      </c>
      <c r="N18" s="5">
        <v>13.5</v>
      </c>
      <c r="O18" s="5">
        <v>30</v>
      </c>
      <c r="P18" s="5">
        <v>67.5</v>
      </c>
      <c r="Q18" s="5">
        <v>0.034</v>
      </c>
      <c r="R18" s="5">
        <v>13.3</v>
      </c>
      <c r="S18" s="5" t="s">
        <v>175</v>
      </c>
    </row>
    <row r="19" spans="1:19">
      <c r="A19" s="5" t="s">
        <v>277</v>
      </c>
      <c r="B19" s="5" t="s">
        <v>167</v>
      </c>
      <c r="C19" s="5" t="s">
        <v>278</v>
      </c>
      <c r="D19" s="5" t="s">
        <v>279</v>
      </c>
      <c r="E19" s="5" t="s">
        <v>280</v>
      </c>
      <c r="F19" s="5" t="s">
        <v>281</v>
      </c>
      <c r="G19" s="5" t="s">
        <v>282</v>
      </c>
      <c r="H19" s="5" t="s">
        <v>283</v>
      </c>
      <c r="I19" s="5" t="s">
        <v>284</v>
      </c>
      <c r="J19" s="5">
        <v>0.39</v>
      </c>
      <c r="K19" s="5">
        <v>0.015</v>
      </c>
      <c r="L19" s="5">
        <v>0.034</v>
      </c>
      <c r="M19" s="5">
        <v>0.076</v>
      </c>
      <c r="N19" s="5">
        <v>12.8</v>
      </c>
      <c r="O19" s="5">
        <v>32</v>
      </c>
      <c r="P19" s="5">
        <v>73.59999999999999</v>
      </c>
      <c r="Q19" s="5">
        <v>0.017</v>
      </c>
      <c r="R19" s="5">
        <v>15.8</v>
      </c>
      <c r="S19" s="5" t="s">
        <v>175</v>
      </c>
    </row>
    <row r="20" spans="1:19">
      <c r="A20" s="5" t="s">
        <v>285</v>
      </c>
      <c r="B20" s="5" t="s">
        <v>167</v>
      </c>
      <c r="C20" s="5" t="s">
        <v>286</v>
      </c>
      <c r="D20" s="5" t="s">
        <v>287</v>
      </c>
      <c r="E20" s="5" t="s">
        <v>288</v>
      </c>
      <c r="F20" s="5" t="s">
        <v>289</v>
      </c>
      <c r="G20" s="5" t="s">
        <v>223</v>
      </c>
      <c r="H20" s="5" t="s">
        <v>290</v>
      </c>
      <c r="I20" s="5" t="s">
        <v>291</v>
      </c>
      <c r="J20" s="5">
        <v>0.34</v>
      </c>
      <c r="K20" s="5">
        <v>0.03</v>
      </c>
      <c r="L20" s="5">
        <v>0.067</v>
      </c>
      <c r="M20" s="5">
        <v>0.151</v>
      </c>
      <c r="N20" s="5">
        <v>10.8</v>
      </c>
      <c r="O20" s="5">
        <v>27</v>
      </c>
      <c r="P20" s="5">
        <v>62.1</v>
      </c>
      <c r="Q20" s="5">
        <v>0.029</v>
      </c>
      <c r="R20" s="5">
        <v>11.7</v>
      </c>
      <c r="S20" s="5" t="s">
        <v>175</v>
      </c>
    </row>
    <row r="21" spans="1:19">
      <c r="A21" s="5" t="s">
        <v>292</v>
      </c>
      <c r="B21" s="5" t="s">
        <v>293</v>
      </c>
      <c r="C21" s="5" t="s">
        <v>294</v>
      </c>
      <c r="D21" s="5" t="s">
        <v>295</v>
      </c>
      <c r="E21" s="5" t="s">
        <v>296</v>
      </c>
      <c r="F21" s="5" t="s">
        <v>297</v>
      </c>
      <c r="G21" s="5" t="s">
        <v>298</v>
      </c>
      <c r="H21" s="5" t="s">
        <v>299</v>
      </c>
      <c r="I21" s="5" t="s">
        <v>300</v>
      </c>
      <c r="J21" s="5">
        <v>0.32</v>
      </c>
      <c r="K21" s="5">
        <v>0.066</v>
      </c>
      <c r="L21" s="5">
        <v>0.146</v>
      </c>
      <c r="M21" s="5">
        <v>0.313</v>
      </c>
      <c r="N21" s="5">
        <v>2.7</v>
      </c>
      <c r="O21" s="5">
        <v>6</v>
      </c>
      <c r="P21" s="5">
        <v>13.5</v>
      </c>
      <c r="Q21" s="5">
        <v>0.058</v>
      </c>
      <c r="R21" s="5">
        <v>2.4</v>
      </c>
      <c r="S21" s="5" t="s">
        <v>175</v>
      </c>
    </row>
    <row r="22" spans="1:19">
      <c r="A22" s="5" t="s">
        <v>301</v>
      </c>
      <c r="B22" s="5" t="s">
        <v>218</v>
      </c>
      <c r="C22" s="5" t="s">
        <v>302</v>
      </c>
      <c r="D22" s="5" t="s">
        <v>303</v>
      </c>
      <c r="E22" s="5" t="s">
        <v>304</v>
      </c>
      <c r="F22" s="5" t="s">
        <v>305</v>
      </c>
      <c r="G22" s="5" t="s">
        <v>306</v>
      </c>
      <c r="H22" s="5" t="s">
        <v>307</v>
      </c>
      <c r="I22" s="5" t="s">
        <v>308</v>
      </c>
      <c r="J22" s="5">
        <v>0.36</v>
      </c>
      <c r="K22" s="5">
        <v>0.025</v>
      </c>
      <c r="L22" s="5">
        <v>0.056</v>
      </c>
      <c r="M22" s="5">
        <v>0.12</v>
      </c>
      <c r="N22" s="5">
        <v>11.7</v>
      </c>
      <c r="O22" s="5">
        <v>26</v>
      </c>
      <c r="P22" s="5">
        <v>58.5</v>
      </c>
      <c r="Q22" s="5">
        <v>0.025</v>
      </c>
      <c r="R22" s="5">
        <v>11.8</v>
      </c>
      <c r="S22" s="5" t="s">
        <v>175</v>
      </c>
    </row>
    <row r="23" spans="1:19">
      <c r="A23" s="5" t="s">
        <v>309</v>
      </c>
      <c r="B23" s="5" t="s">
        <v>167</v>
      </c>
      <c r="C23" s="5" t="s">
        <v>310</v>
      </c>
      <c r="D23" s="5" t="s">
        <v>311</v>
      </c>
      <c r="E23" s="5" t="s">
        <v>312</v>
      </c>
      <c r="F23" s="5" t="s">
        <v>313</v>
      </c>
      <c r="G23" s="5" t="s">
        <v>198</v>
      </c>
      <c r="H23" s="5" t="s">
        <v>314</v>
      </c>
      <c r="I23" s="5" t="s">
        <v>315</v>
      </c>
      <c r="J23" s="5">
        <v>0.29</v>
      </c>
      <c r="K23" s="5">
        <v>0.045</v>
      </c>
      <c r="L23" s="5">
        <v>0.101</v>
      </c>
      <c r="M23" s="5">
        <v>0.227</v>
      </c>
      <c r="N23" s="5">
        <v>8.800000000000001</v>
      </c>
      <c r="O23" s="5">
        <v>22</v>
      </c>
      <c r="P23" s="5">
        <v>50.6</v>
      </c>
      <c r="Q23" s="5">
        <v>0.037</v>
      </c>
      <c r="R23" s="5">
        <v>8.1</v>
      </c>
      <c r="S23" s="5" t="s">
        <v>175</v>
      </c>
    </row>
    <row r="24" spans="1:19">
      <c r="A24" s="5" t="s">
        <v>316</v>
      </c>
      <c r="B24" s="5" t="s">
        <v>167</v>
      </c>
      <c r="C24" s="5" t="s">
        <v>317</v>
      </c>
      <c r="D24" s="5" t="s">
        <v>318</v>
      </c>
      <c r="E24" s="5" t="s">
        <v>319</v>
      </c>
      <c r="F24" s="5" t="s">
        <v>320</v>
      </c>
      <c r="G24" s="5" t="s">
        <v>321</v>
      </c>
      <c r="H24" s="5" t="s">
        <v>322</v>
      </c>
      <c r="I24" s="5" t="s">
        <v>323</v>
      </c>
      <c r="J24" s="5">
        <v>0.29</v>
      </c>
      <c r="K24" s="5">
        <v>0.038</v>
      </c>
      <c r="L24" s="5">
        <v>0.08400000000000001</v>
      </c>
      <c r="M24" s="5">
        <v>0.189</v>
      </c>
      <c r="N24" s="5">
        <v>8.800000000000001</v>
      </c>
      <c r="O24" s="5">
        <v>22</v>
      </c>
      <c r="P24" s="5">
        <v>50.6</v>
      </c>
      <c r="Q24" s="5">
        <v>0.031</v>
      </c>
      <c r="R24" s="5">
        <v>8.1</v>
      </c>
      <c r="S24" s="5" t="s">
        <v>175</v>
      </c>
    </row>
    <row r="25" spans="1:19">
      <c r="A25" s="5" t="s">
        <v>324</v>
      </c>
      <c r="B25" s="5" t="s">
        <v>325</v>
      </c>
      <c r="C25" s="5" t="s">
        <v>326</v>
      </c>
      <c r="D25" s="5" t="s">
        <v>327</v>
      </c>
      <c r="E25" s="5" t="s">
        <v>328</v>
      </c>
      <c r="F25" s="5" t="s">
        <v>329</v>
      </c>
      <c r="G25" s="5" t="s">
        <v>181</v>
      </c>
      <c r="H25" s="5" t="s">
        <v>330</v>
      </c>
      <c r="I25" s="5" t="s">
        <v>331</v>
      </c>
      <c r="J25" s="5">
        <v>0.35</v>
      </c>
      <c r="K25" s="5">
        <v>0.025</v>
      </c>
      <c r="L25" s="5">
        <v>0.056</v>
      </c>
      <c r="M25" s="5">
        <v>0.12</v>
      </c>
      <c r="N25" s="5">
        <v>4.5</v>
      </c>
      <c r="O25" s="5">
        <v>10</v>
      </c>
      <c r="P25" s="5">
        <v>22.5</v>
      </c>
      <c r="Q25" s="5">
        <v>0.024</v>
      </c>
      <c r="R25" s="5">
        <v>4.4</v>
      </c>
      <c r="S25" s="5" t="s">
        <v>175</v>
      </c>
    </row>
    <row r="26" spans="1:19">
      <c r="A26" s="5" t="s">
        <v>332</v>
      </c>
      <c r="B26" s="5" t="s">
        <v>167</v>
      </c>
      <c r="C26" s="5" t="s">
        <v>333</v>
      </c>
      <c r="D26" s="5" t="s">
        <v>334</v>
      </c>
      <c r="E26" s="5" t="s">
        <v>335</v>
      </c>
      <c r="F26" s="5" t="s">
        <v>336</v>
      </c>
      <c r="G26" s="5" t="s">
        <v>198</v>
      </c>
      <c r="H26" s="5" t="s">
        <v>337</v>
      </c>
      <c r="I26" s="5" t="s">
        <v>338</v>
      </c>
      <c r="J26" s="5">
        <v>0.29</v>
      </c>
      <c r="K26" s="5">
        <v>0.023</v>
      </c>
      <c r="L26" s="5">
        <v>0.05</v>
      </c>
      <c r="M26" s="5">
        <v>0.113</v>
      </c>
      <c r="N26" s="5">
        <v>8.800000000000001</v>
      </c>
      <c r="O26" s="5">
        <v>22</v>
      </c>
      <c r="P26" s="5">
        <v>50.6</v>
      </c>
      <c r="Q26" s="5">
        <v>0.018</v>
      </c>
      <c r="R26" s="5">
        <v>8.1</v>
      </c>
      <c r="S26" s="5" t="s">
        <v>175</v>
      </c>
    </row>
    <row r="27" spans="1:19">
      <c r="A27" s="5" t="s">
        <v>339</v>
      </c>
      <c r="B27" s="5" t="s">
        <v>167</v>
      </c>
      <c r="C27" s="5" t="s">
        <v>340</v>
      </c>
      <c r="D27" s="5" t="s">
        <v>341</v>
      </c>
      <c r="E27" s="5" t="s">
        <v>342</v>
      </c>
      <c r="F27" s="5" t="s">
        <v>343</v>
      </c>
      <c r="G27" s="5" t="s">
        <v>306</v>
      </c>
      <c r="H27" s="5" t="s">
        <v>344</v>
      </c>
      <c r="I27" s="5" t="s">
        <v>345</v>
      </c>
      <c r="J27" s="5">
        <v>0.24</v>
      </c>
      <c r="K27" s="5">
        <v>0.038</v>
      </c>
      <c r="L27" s="5">
        <v>0.08400000000000001</v>
      </c>
      <c r="M27" s="5">
        <v>0.189</v>
      </c>
      <c r="N27" s="5">
        <v>6.8</v>
      </c>
      <c r="O27" s="5">
        <v>17</v>
      </c>
      <c r="P27" s="5">
        <v>39.1</v>
      </c>
      <c r="Q27" s="5">
        <v>0.026</v>
      </c>
      <c r="R27" s="5">
        <v>5.2</v>
      </c>
      <c r="S27" s="5" t="s">
        <v>175</v>
      </c>
    </row>
    <row r="28" spans="1:19">
      <c r="A28" s="5" t="s">
        <v>346</v>
      </c>
      <c r="B28" s="5" t="s">
        <v>167</v>
      </c>
      <c r="C28" s="5" t="s">
        <v>347</v>
      </c>
      <c r="D28" s="5" t="s">
        <v>348</v>
      </c>
      <c r="E28" s="5" t="s">
        <v>349</v>
      </c>
      <c r="F28" s="5" t="s">
        <v>350</v>
      </c>
      <c r="G28" s="5" t="s">
        <v>274</v>
      </c>
      <c r="H28" s="5" t="s">
        <v>351</v>
      </c>
      <c r="I28" s="5" t="s">
        <v>352</v>
      </c>
      <c r="J28" s="5">
        <v>0.24</v>
      </c>
      <c r="K28" s="5">
        <v>0.03</v>
      </c>
      <c r="L28" s="5">
        <v>0.067</v>
      </c>
      <c r="M28" s="5">
        <v>0.151</v>
      </c>
      <c r="N28" s="5">
        <v>6.8</v>
      </c>
      <c r="O28" s="5">
        <v>17</v>
      </c>
      <c r="P28" s="5">
        <v>39.1</v>
      </c>
      <c r="Q28" s="5">
        <v>0.02</v>
      </c>
      <c r="R28" s="5">
        <v>5.2</v>
      </c>
      <c r="S28" s="5" t="s">
        <v>175</v>
      </c>
    </row>
    <row r="29" spans="1:19">
      <c r="A29" s="5" t="s">
        <v>353</v>
      </c>
      <c r="B29" s="5" t="s">
        <v>167</v>
      </c>
      <c r="C29" s="5" t="s">
        <v>354</v>
      </c>
      <c r="D29" s="5" t="s">
        <v>355</v>
      </c>
      <c r="E29" s="5" t="s">
        <v>356</v>
      </c>
      <c r="F29" s="5" t="s">
        <v>357</v>
      </c>
      <c r="G29" s="5" t="s">
        <v>358</v>
      </c>
      <c r="H29" s="5" t="s">
        <v>359</v>
      </c>
      <c r="I29" s="5" t="s">
        <v>360</v>
      </c>
      <c r="J29" s="5">
        <v>0.19</v>
      </c>
      <c r="K29" s="5">
        <v>0.045</v>
      </c>
      <c r="L29" s="5">
        <v>0.101</v>
      </c>
      <c r="M29" s="5">
        <v>0.227</v>
      </c>
      <c r="N29" s="5">
        <v>4.8</v>
      </c>
      <c r="O29" s="5">
        <v>12</v>
      </c>
      <c r="P29" s="5">
        <v>27.6</v>
      </c>
      <c r="Q29" s="5">
        <v>0.024</v>
      </c>
      <c r="R29" s="5">
        <v>2.9</v>
      </c>
      <c r="S29" s="5" t="s">
        <v>175</v>
      </c>
    </row>
    <row r="30" spans="1:19">
      <c r="A30" s="5" t="s">
        <v>361</v>
      </c>
      <c r="B30" s="5" t="s">
        <v>167</v>
      </c>
      <c r="C30" s="5" t="s">
        <v>362</v>
      </c>
      <c r="D30" s="5" t="s">
        <v>363</v>
      </c>
      <c r="E30" s="5" t="s">
        <v>364</v>
      </c>
      <c r="F30" s="5" t="s">
        <v>365</v>
      </c>
      <c r="G30" s="5" t="s">
        <v>249</v>
      </c>
      <c r="H30" s="5" t="s">
        <v>366</v>
      </c>
      <c r="I30" s="5" t="s">
        <v>251</v>
      </c>
      <c r="J30" s="5">
        <v>0.24</v>
      </c>
      <c r="K30" s="5">
        <v>0.015</v>
      </c>
      <c r="L30" s="5">
        <v>0.034</v>
      </c>
      <c r="M30" s="5">
        <v>0.076</v>
      </c>
      <c r="N30" s="5">
        <v>6.8</v>
      </c>
      <c r="O30" s="5">
        <v>17</v>
      </c>
      <c r="P30" s="5">
        <v>39.1</v>
      </c>
      <c r="Q30" s="5">
        <v>0.01</v>
      </c>
      <c r="R30" s="5">
        <v>5.2</v>
      </c>
      <c r="S30" s="5" t="s">
        <v>175</v>
      </c>
    </row>
    <row r="31" spans="1:19">
      <c r="A31" s="5" t="s">
        <v>367</v>
      </c>
      <c r="B31" s="5" t="s">
        <v>167</v>
      </c>
      <c r="C31" s="5" t="s">
        <v>368</v>
      </c>
      <c r="D31" s="5" t="s">
        <v>369</v>
      </c>
      <c r="E31" s="5" t="s">
        <v>370</v>
      </c>
      <c r="F31" s="5" t="s">
        <v>371</v>
      </c>
      <c r="G31" s="5" t="s">
        <v>172</v>
      </c>
      <c r="H31" s="5" t="s">
        <v>372</v>
      </c>
      <c r="I31" s="5" t="s">
        <v>373</v>
      </c>
      <c r="J31" s="5">
        <v>0.19</v>
      </c>
      <c r="K31" s="5">
        <v>0.03</v>
      </c>
      <c r="L31" s="5">
        <v>0.067</v>
      </c>
      <c r="M31" s="5">
        <v>0.151</v>
      </c>
      <c r="N31" s="5">
        <v>4.8</v>
      </c>
      <c r="O31" s="5">
        <v>12</v>
      </c>
      <c r="P31" s="5">
        <v>27.6</v>
      </c>
      <c r="Q31" s="5">
        <v>0.016</v>
      </c>
      <c r="R31" s="5">
        <v>2.9</v>
      </c>
      <c r="S31" s="5" t="s">
        <v>175</v>
      </c>
    </row>
    <row r="32" spans="1:19">
      <c r="A32" s="5" t="s">
        <v>374</v>
      </c>
      <c r="B32" s="5" t="s">
        <v>167</v>
      </c>
      <c r="C32" s="5" t="s">
        <v>375</v>
      </c>
      <c r="D32" s="5" t="s">
        <v>376</v>
      </c>
      <c r="E32" s="5" t="s">
        <v>377</v>
      </c>
      <c r="F32" s="5" t="s">
        <v>378</v>
      </c>
      <c r="G32" s="5" t="s">
        <v>189</v>
      </c>
      <c r="H32" s="5" t="s">
        <v>379</v>
      </c>
      <c r="I32" s="5" t="s">
        <v>380</v>
      </c>
      <c r="J32" s="5">
        <v>0.19</v>
      </c>
      <c r="K32" s="5">
        <v>0.023</v>
      </c>
      <c r="L32" s="5">
        <v>0.05</v>
      </c>
      <c r="M32" s="5">
        <v>0.113</v>
      </c>
      <c r="N32" s="5">
        <v>4.8</v>
      </c>
      <c r="O32" s="5">
        <v>12</v>
      </c>
      <c r="P32" s="5">
        <v>27.6</v>
      </c>
      <c r="Q32" s="5">
        <v>0.012</v>
      </c>
      <c r="R32" s="5">
        <v>2.9</v>
      </c>
      <c r="S32" s="5" t="s">
        <v>175</v>
      </c>
    </row>
    <row r="33" spans="1:19">
      <c r="A33" s="5" t="s">
        <v>381</v>
      </c>
      <c r="B33" s="5" t="s">
        <v>167</v>
      </c>
      <c r="C33" s="5" t="s">
        <v>382</v>
      </c>
      <c r="D33" s="5" t="s">
        <v>383</v>
      </c>
      <c r="E33" s="5" t="s">
        <v>384</v>
      </c>
      <c r="F33" s="5" t="s">
        <v>385</v>
      </c>
      <c r="G33" s="5" t="s">
        <v>298</v>
      </c>
      <c r="H33" s="5" t="s">
        <v>386</v>
      </c>
      <c r="I33" s="5" t="s">
        <v>387</v>
      </c>
      <c r="J33" s="5">
        <v>0.14</v>
      </c>
      <c r="K33" s="5">
        <v>0.038</v>
      </c>
      <c r="L33" s="5">
        <v>0.08400000000000001</v>
      </c>
      <c r="M33" s="5">
        <v>0.189</v>
      </c>
      <c r="N33" s="5">
        <v>2.8</v>
      </c>
      <c r="O33" s="5">
        <v>7</v>
      </c>
      <c r="P33" s="5">
        <v>16.1</v>
      </c>
      <c r="Q33" s="5">
        <v>0.015</v>
      </c>
      <c r="R33" s="5">
        <v>1.2</v>
      </c>
      <c r="S33" s="5" t="s">
        <v>175</v>
      </c>
    </row>
    <row r="34" spans="1:19">
      <c r="A34" s="5" t="s">
        <v>388</v>
      </c>
      <c r="B34" s="5" t="s">
        <v>167</v>
      </c>
      <c r="C34" s="5" t="s">
        <v>389</v>
      </c>
      <c r="D34" s="5" t="s">
        <v>390</v>
      </c>
      <c r="E34" s="5" t="s">
        <v>391</v>
      </c>
      <c r="F34" s="5" t="s">
        <v>392</v>
      </c>
      <c r="G34" s="5" t="s">
        <v>393</v>
      </c>
      <c r="H34" s="5" t="s">
        <v>394</v>
      </c>
      <c r="I34" s="5" t="s">
        <v>395</v>
      </c>
      <c r="J34" s="5">
        <v>0.14</v>
      </c>
      <c r="K34" s="5">
        <v>0.023</v>
      </c>
      <c r="L34" s="5">
        <v>0.05</v>
      </c>
      <c r="M34" s="5">
        <v>0.113</v>
      </c>
      <c r="N34" s="5">
        <v>2.8</v>
      </c>
      <c r="O34" s="5">
        <v>7</v>
      </c>
      <c r="P34" s="5">
        <v>16.1</v>
      </c>
      <c r="Q34" s="5">
        <v>0.008999999999999999</v>
      </c>
      <c r="R34" s="5">
        <v>1.2</v>
      </c>
      <c r="S34" s="5" t="s">
        <v>175</v>
      </c>
    </row>
  </sheetData>
  <mergeCells count="1">
    <mergeCell ref="A1:R1"/>
  </mergeCells>
  <conditionalFormatting sqref="J6:J34">
    <cfRule type="colorScale" priority="1">
      <colorScale>
        <cfvo type="min" val="0"/>
        <cfvo type="percentile" val="50"/>
        <cfvo type="max" val="0"/>
        <color rgb="FFD9EAD3"/>
        <color rgb="FFFFF2CC"/>
        <color rgb="FFF4CCCC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3" width="16.7109375" customWidth="1"/>
  </cols>
  <sheetData>
    <row r="1" spans="1:6">
      <c r="A1" s="1" t="s">
        <v>396</v>
      </c>
      <c r="B1" s="1"/>
      <c r="C1" s="1"/>
      <c r="D1" s="1"/>
      <c r="E1" s="1"/>
      <c r="F1" s="1"/>
    </row>
    <row r="5" spans="1:6">
      <c r="A5" s="7" t="s">
        <v>397</v>
      </c>
      <c r="B5" s="7" t="s">
        <v>398</v>
      </c>
      <c r="C5" s="7" t="s">
        <v>399</v>
      </c>
    </row>
    <row r="6" spans="1:6">
      <c r="A6" s="5">
        <v>1</v>
      </c>
      <c r="B6" s="5">
        <v>4.266</v>
      </c>
      <c r="C6" s="5">
        <v>42.03</v>
      </c>
    </row>
    <row r="7" spans="1:6">
      <c r="A7" s="5">
        <v>5</v>
      </c>
      <c r="B7" s="5">
        <v>4.619</v>
      </c>
      <c r="C7" s="5">
        <v>43.69</v>
      </c>
    </row>
    <row r="8" spans="1:6">
      <c r="A8" s="5">
        <v>10</v>
      </c>
      <c r="B8" s="5">
        <v>4.823</v>
      </c>
      <c r="C8" s="5">
        <v>44.62</v>
      </c>
    </row>
    <row r="9" spans="1:6">
      <c r="A9" s="5">
        <v>20</v>
      </c>
      <c r="B9" s="5">
        <v>5.077</v>
      </c>
      <c r="C9" s="5">
        <v>45.75</v>
      </c>
    </row>
    <row r="10" spans="1:6">
      <c r="A10" s="5">
        <v>30</v>
      </c>
      <c r="B10" s="5">
        <v>5.27</v>
      </c>
      <c r="C10" s="5">
        <v>46.6</v>
      </c>
    </row>
    <row r="11" spans="1:6">
      <c r="A11" s="5">
        <v>40</v>
      </c>
      <c r="B11" s="5">
        <v>5.439</v>
      </c>
      <c r="C11" s="5">
        <v>47.32</v>
      </c>
    </row>
    <row r="12" spans="1:6">
      <c r="A12" s="5">
        <v>50</v>
      </c>
      <c r="B12" s="5">
        <v>5.6</v>
      </c>
      <c r="C12" s="5">
        <v>48</v>
      </c>
    </row>
    <row r="13" spans="1:6">
      <c r="A13" s="5">
        <v>60</v>
      </c>
      <c r="B13" s="5">
        <v>5.766</v>
      </c>
      <c r="C13" s="5">
        <v>48.69</v>
      </c>
    </row>
    <row r="14" spans="1:6">
      <c r="A14" s="5">
        <v>70</v>
      </c>
      <c r="B14" s="5">
        <v>5.951</v>
      </c>
      <c r="C14" s="5">
        <v>49.45</v>
      </c>
    </row>
    <row r="15" spans="1:6">
      <c r="A15" s="5">
        <v>80</v>
      </c>
      <c r="B15" s="5">
        <v>6.177</v>
      </c>
      <c r="C15" s="5">
        <v>50.36</v>
      </c>
    </row>
    <row r="16" spans="1:6">
      <c r="A16" s="5">
        <v>85</v>
      </c>
      <c r="B16" s="5">
        <v>6.323</v>
      </c>
      <c r="C16" s="5">
        <v>50.93</v>
      </c>
    </row>
    <row r="17" spans="1:3">
      <c r="A17" s="5">
        <v>90</v>
      </c>
      <c r="B17" s="5">
        <v>6.503</v>
      </c>
      <c r="C17" s="5">
        <v>51.64</v>
      </c>
    </row>
    <row r="18" spans="1:3">
      <c r="A18" s="5">
        <v>95</v>
      </c>
      <c r="B18" s="5">
        <v>6.79</v>
      </c>
      <c r="C18" s="5">
        <v>52.74</v>
      </c>
    </row>
    <row r="19" spans="1:3">
      <c r="A19" s="5">
        <v>99</v>
      </c>
      <c r="B19" s="5">
        <v>7.351</v>
      </c>
      <c r="C19" s="5">
        <v>54.82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2.7109375" customWidth="1"/>
    <col min="4" max="4" width="14.7109375" customWidth="1"/>
    <col min="5" max="5" width="18.7109375" customWidth="1"/>
    <col min="6" max="6" width="45.7109375" customWidth="1"/>
    <col min="8" max="8" width="8.7109375" customWidth="1"/>
    <col min="9" max="9" width="30.7109375" customWidth="1"/>
    <col min="10" max="10" width="12.7109375" customWidth="1"/>
    <col min="11" max="12" width="18.7109375" customWidth="1"/>
    <col min="13" max="13" width="45.7109375" customWidth="1"/>
  </cols>
  <sheetData>
    <row r="1" spans="1:13">
      <c r="A1" s="1" t="s">
        <v>400</v>
      </c>
      <c r="B1" s="1"/>
      <c r="C1" s="1"/>
      <c r="D1" s="1"/>
      <c r="E1" s="1"/>
      <c r="F1" s="1"/>
      <c r="G1" s="1"/>
      <c r="H1" s="1"/>
    </row>
    <row r="5" spans="1:13">
      <c r="A5" s="7" t="s">
        <v>401</v>
      </c>
      <c r="B5" s="7" t="s">
        <v>402</v>
      </c>
      <c r="C5" s="7" t="s">
        <v>148</v>
      </c>
      <c r="D5" s="7" t="s">
        <v>163</v>
      </c>
      <c r="E5" s="7" t="s">
        <v>153</v>
      </c>
      <c r="F5" s="7" t="s">
        <v>154</v>
      </c>
      <c r="H5" s="7" t="s">
        <v>401</v>
      </c>
      <c r="I5" s="7" t="s">
        <v>403</v>
      </c>
      <c r="J5" s="7" t="s">
        <v>148</v>
      </c>
      <c r="K5" s="7" t="s">
        <v>164</v>
      </c>
      <c r="L5" s="7" t="s">
        <v>153</v>
      </c>
      <c r="M5" s="7" t="s">
        <v>154</v>
      </c>
    </row>
    <row r="6" spans="1:13">
      <c r="A6" s="5">
        <v>1</v>
      </c>
      <c r="B6" s="5" t="s">
        <v>219</v>
      </c>
      <c r="C6" s="5" t="s">
        <v>217</v>
      </c>
      <c r="D6" s="5">
        <v>0.068</v>
      </c>
      <c r="E6" s="5" t="s">
        <v>223</v>
      </c>
      <c r="F6" s="5" t="s">
        <v>224</v>
      </c>
      <c r="H6" s="5">
        <v>1</v>
      </c>
      <c r="I6" s="5" t="s">
        <v>168</v>
      </c>
      <c r="J6" s="5" t="s">
        <v>166</v>
      </c>
      <c r="K6" s="5">
        <v>26.1</v>
      </c>
      <c r="L6" s="5" t="s">
        <v>172</v>
      </c>
      <c r="M6" s="5" t="s">
        <v>173</v>
      </c>
    </row>
    <row r="7" spans="1:13">
      <c r="A7" s="5">
        <v>2</v>
      </c>
      <c r="B7" s="5" t="s">
        <v>203</v>
      </c>
      <c r="C7" s="5" t="s">
        <v>201</v>
      </c>
      <c r="D7" s="5">
        <v>0.064</v>
      </c>
      <c r="E7" s="5" t="s">
        <v>207</v>
      </c>
      <c r="F7" s="5" t="s">
        <v>208</v>
      </c>
      <c r="H7" s="5">
        <v>2</v>
      </c>
      <c r="I7" s="5" t="s">
        <v>185</v>
      </c>
      <c r="J7" s="5" t="s">
        <v>184</v>
      </c>
      <c r="K7" s="5">
        <v>26.1</v>
      </c>
      <c r="L7" s="5" t="s">
        <v>189</v>
      </c>
      <c r="M7" s="5" t="s">
        <v>190</v>
      </c>
    </row>
    <row r="8" spans="1:13">
      <c r="A8" s="5">
        <v>3</v>
      </c>
      <c r="B8" s="5" t="s">
        <v>294</v>
      </c>
      <c r="C8" s="5" t="s">
        <v>292</v>
      </c>
      <c r="D8" s="5">
        <v>0.058</v>
      </c>
      <c r="E8" s="5" t="s">
        <v>298</v>
      </c>
      <c r="F8" s="5" t="s">
        <v>299</v>
      </c>
      <c r="H8" s="5">
        <v>3</v>
      </c>
      <c r="I8" s="5" t="s">
        <v>177</v>
      </c>
      <c r="J8" s="5" t="s">
        <v>176</v>
      </c>
      <c r="K8" s="5">
        <v>20.7</v>
      </c>
      <c r="L8" s="5" t="s">
        <v>181</v>
      </c>
      <c r="M8" s="5" t="s">
        <v>182</v>
      </c>
    </row>
    <row r="9" spans="1:13">
      <c r="A9" s="5">
        <v>4</v>
      </c>
      <c r="B9" s="5" t="s">
        <v>177</v>
      </c>
      <c r="C9" s="5" t="s">
        <v>176</v>
      </c>
      <c r="D9" s="5">
        <v>0.056</v>
      </c>
      <c r="E9" s="5" t="s">
        <v>181</v>
      </c>
      <c r="F9" s="5" t="s">
        <v>182</v>
      </c>
      <c r="H9" s="5">
        <v>4</v>
      </c>
      <c r="I9" s="5" t="s">
        <v>211</v>
      </c>
      <c r="J9" s="5" t="s">
        <v>210</v>
      </c>
      <c r="K9" s="5">
        <v>20.7</v>
      </c>
      <c r="L9" s="5" t="s">
        <v>207</v>
      </c>
      <c r="M9" s="5" t="s">
        <v>215</v>
      </c>
    </row>
    <row r="10" spans="1:13">
      <c r="A10" s="5">
        <v>5</v>
      </c>
      <c r="B10" s="5" t="s">
        <v>237</v>
      </c>
      <c r="C10" s="5" t="s">
        <v>235</v>
      </c>
      <c r="D10" s="5">
        <v>0.056</v>
      </c>
      <c r="E10" s="5" t="s">
        <v>189</v>
      </c>
      <c r="F10" s="5" t="s">
        <v>241</v>
      </c>
      <c r="H10" s="5">
        <v>5</v>
      </c>
      <c r="I10" s="5" t="s">
        <v>194</v>
      </c>
      <c r="J10" s="5" t="s">
        <v>192</v>
      </c>
      <c r="K10" s="5">
        <v>17.2</v>
      </c>
      <c r="L10" s="5" t="s">
        <v>198</v>
      </c>
      <c r="M10" s="5" t="s">
        <v>199</v>
      </c>
    </row>
    <row r="11" spans="1:13">
      <c r="A11" s="5">
        <v>6</v>
      </c>
      <c r="B11" s="5" t="s">
        <v>245</v>
      </c>
      <c r="C11" s="5" t="s">
        <v>243</v>
      </c>
      <c r="D11" s="5">
        <v>0.052</v>
      </c>
      <c r="E11" s="5" t="s">
        <v>249</v>
      </c>
      <c r="F11" s="5" t="s">
        <v>250</v>
      </c>
      <c r="H11" s="5">
        <v>6</v>
      </c>
      <c r="I11" s="5" t="s">
        <v>245</v>
      </c>
      <c r="J11" s="5" t="s">
        <v>243</v>
      </c>
      <c r="K11" s="5">
        <v>16.3</v>
      </c>
      <c r="L11" s="5" t="s">
        <v>249</v>
      </c>
      <c r="M11" s="5" t="s">
        <v>250</v>
      </c>
    </row>
    <row r="12" spans="1:13">
      <c r="A12" s="5">
        <v>7</v>
      </c>
      <c r="B12" s="5" t="s">
        <v>194</v>
      </c>
      <c r="C12" s="5" t="s">
        <v>192</v>
      </c>
      <c r="D12" s="5">
        <v>0.05</v>
      </c>
      <c r="E12" s="5" t="s">
        <v>198</v>
      </c>
      <c r="F12" s="5" t="s">
        <v>199</v>
      </c>
      <c r="H12" s="5">
        <v>7</v>
      </c>
      <c r="I12" s="5" t="s">
        <v>253</v>
      </c>
      <c r="J12" s="5" t="s">
        <v>252</v>
      </c>
      <c r="K12" s="5">
        <v>15.8</v>
      </c>
      <c r="L12" s="5" t="s">
        <v>257</v>
      </c>
      <c r="M12" s="5" t="s">
        <v>258</v>
      </c>
    </row>
    <row r="13" spans="1:13">
      <c r="A13" s="5">
        <v>8</v>
      </c>
      <c r="B13" s="5" t="s">
        <v>228</v>
      </c>
      <c r="C13" s="5" t="s">
        <v>226</v>
      </c>
      <c r="D13" s="5">
        <v>0.05</v>
      </c>
      <c r="E13" s="5" t="s">
        <v>232</v>
      </c>
      <c r="F13" s="5" t="s">
        <v>233</v>
      </c>
      <c r="H13" s="5">
        <v>8</v>
      </c>
      <c r="I13" s="5" t="s">
        <v>278</v>
      </c>
      <c r="J13" s="5" t="s">
        <v>277</v>
      </c>
      <c r="K13" s="5">
        <v>15.8</v>
      </c>
      <c r="L13" s="5" t="s">
        <v>282</v>
      </c>
      <c r="M13" s="5" t="s">
        <v>283</v>
      </c>
    </row>
    <row r="14" spans="1:13">
      <c r="A14" s="5">
        <v>9</v>
      </c>
      <c r="B14" s="5" t="s">
        <v>261</v>
      </c>
      <c r="C14" s="5" t="s">
        <v>260</v>
      </c>
      <c r="D14" s="5">
        <v>0.043</v>
      </c>
      <c r="E14" s="5" t="s">
        <v>265</v>
      </c>
      <c r="F14" s="5" t="s">
        <v>266</v>
      </c>
      <c r="H14" s="5">
        <v>9</v>
      </c>
      <c r="I14" s="5" t="s">
        <v>270</v>
      </c>
      <c r="J14" s="5" t="s">
        <v>268</v>
      </c>
      <c r="K14" s="5">
        <v>13.3</v>
      </c>
      <c r="L14" s="5" t="s">
        <v>274</v>
      </c>
      <c r="M14" s="5" t="s">
        <v>275</v>
      </c>
    </row>
    <row r="15" spans="1:13">
      <c r="A15" s="5">
        <v>10</v>
      </c>
      <c r="B15" s="5" t="s">
        <v>168</v>
      </c>
      <c r="C15" s="5" t="s">
        <v>166</v>
      </c>
      <c r="D15" s="5">
        <v>0.042</v>
      </c>
      <c r="E15" s="5" t="s">
        <v>172</v>
      </c>
      <c r="F15" s="5" t="s">
        <v>173</v>
      </c>
      <c r="H15" s="5">
        <v>10</v>
      </c>
      <c r="I15" s="5" t="s">
        <v>302</v>
      </c>
      <c r="J15" s="5" t="s">
        <v>301</v>
      </c>
      <c r="K15" s="5">
        <v>11.8</v>
      </c>
      <c r="L15" s="5" t="s">
        <v>306</v>
      </c>
      <c r="M15" s="5" t="s">
        <v>307</v>
      </c>
    </row>
    <row r="16" spans="1:13">
      <c r="A16" s="5">
        <v>11</v>
      </c>
      <c r="B16" s="5" t="s">
        <v>253</v>
      </c>
      <c r="C16" s="5" t="s">
        <v>252</v>
      </c>
      <c r="D16" s="5">
        <v>0.041</v>
      </c>
      <c r="E16" s="5" t="s">
        <v>257</v>
      </c>
      <c r="F16" s="5" t="s">
        <v>258</v>
      </c>
      <c r="H16" s="5">
        <v>11</v>
      </c>
      <c r="I16" s="5" t="s">
        <v>261</v>
      </c>
      <c r="J16" s="5" t="s">
        <v>260</v>
      </c>
      <c r="K16" s="5">
        <v>11.7</v>
      </c>
      <c r="L16" s="5" t="s">
        <v>265</v>
      </c>
      <c r="M16" s="5" t="s">
        <v>266</v>
      </c>
    </row>
    <row r="17" spans="1:13">
      <c r="A17" s="5">
        <v>12</v>
      </c>
      <c r="B17" s="5" t="s">
        <v>310</v>
      </c>
      <c r="C17" s="5" t="s">
        <v>309</v>
      </c>
      <c r="D17" s="5">
        <v>0.037</v>
      </c>
      <c r="E17" s="5" t="s">
        <v>198</v>
      </c>
      <c r="F17" s="5" t="s">
        <v>314</v>
      </c>
      <c r="H17" s="5">
        <v>12</v>
      </c>
      <c r="I17" s="5" t="s">
        <v>286</v>
      </c>
      <c r="J17" s="5" t="s">
        <v>285</v>
      </c>
      <c r="K17" s="5">
        <v>11.7</v>
      </c>
      <c r="L17" s="5" t="s">
        <v>223</v>
      </c>
      <c r="M17" s="5" t="s">
        <v>290</v>
      </c>
    </row>
    <row r="18" spans="1:13">
      <c r="A18" s="5">
        <v>13</v>
      </c>
      <c r="B18" s="5" t="s">
        <v>270</v>
      </c>
      <c r="C18" s="5" t="s">
        <v>268</v>
      </c>
      <c r="D18" s="5">
        <v>0.034</v>
      </c>
      <c r="E18" s="5" t="s">
        <v>274</v>
      </c>
      <c r="F18" s="5" t="s">
        <v>275</v>
      </c>
      <c r="H18" s="5">
        <v>13</v>
      </c>
      <c r="I18" s="5" t="s">
        <v>219</v>
      </c>
      <c r="J18" s="5" t="s">
        <v>217</v>
      </c>
      <c r="K18" s="5">
        <v>10.6</v>
      </c>
      <c r="L18" s="5" t="s">
        <v>223</v>
      </c>
      <c r="M18" s="5" t="s">
        <v>224</v>
      </c>
    </row>
    <row r="19" spans="1:13">
      <c r="A19" s="5">
        <v>14</v>
      </c>
      <c r="B19" s="5" t="s">
        <v>317</v>
      </c>
      <c r="C19" s="5" t="s">
        <v>316</v>
      </c>
      <c r="D19" s="5">
        <v>0.031</v>
      </c>
      <c r="E19" s="5" t="s">
        <v>321</v>
      </c>
      <c r="F19" s="5" t="s">
        <v>322</v>
      </c>
      <c r="H19" s="5">
        <v>14</v>
      </c>
      <c r="I19" s="5" t="s">
        <v>203</v>
      </c>
      <c r="J19" s="5" t="s">
        <v>201</v>
      </c>
      <c r="K19" s="5">
        <v>9.6</v>
      </c>
      <c r="L19" s="5" t="s">
        <v>207</v>
      </c>
      <c r="M19" s="5" t="s">
        <v>208</v>
      </c>
    </row>
    <row r="20" spans="1:13">
      <c r="A20" s="5">
        <v>15</v>
      </c>
      <c r="B20" s="5" t="s">
        <v>286</v>
      </c>
      <c r="C20" s="5" t="s">
        <v>285</v>
      </c>
      <c r="D20" s="5">
        <v>0.029</v>
      </c>
      <c r="E20" s="5" t="s">
        <v>223</v>
      </c>
      <c r="F20" s="5" t="s">
        <v>290</v>
      </c>
      <c r="H20" s="5">
        <v>15</v>
      </c>
      <c r="I20" s="5" t="s">
        <v>310</v>
      </c>
      <c r="J20" s="5" t="s">
        <v>309</v>
      </c>
      <c r="K20" s="5">
        <v>8.1</v>
      </c>
      <c r="L20" s="5" t="s">
        <v>198</v>
      </c>
      <c r="M20" s="5" t="s">
        <v>314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4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18.7109375" customWidth="1"/>
    <col min="4" max="4" width="36.7109375" customWidth="1"/>
    <col min="5" max="5" width="20.7109375" customWidth="1"/>
    <col min="6" max="6" width="14.7109375" customWidth="1"/>
    <col min="7" max="7" width="12.7109375" customWidth="1"/>
    <col min="8" max="8" width="45.7109375" customWidth="1"/>
  </cols>
  <sheetData>
    <row r="1" spans="1:8">
      <c r="A1" s="1" t="s">
        <v>404</v>
      </c>
      <c r="B1" s="1"/>
      <c r="C1" s="1"/>
      <c r="D1" s="1"/>
      <c r="E1" s="1"/>
      <c r="F1" s="1"/>
      <c r="G1" s="1"/>
      <c r="H1" s="1"/>
    </row>
    <row r="5" spans="1:8">
      <c r="A5" s="7" t="s">
        <v>405</v>
      </c>
      <c r="B5" s="7" t="s">
        <v>406</v>
      </c>
      <c r="C5" s="7" t="s">
        <v>407</v>
      </c>
      <c r="D5" s="7" t="s">
        <v>408</v>
      </c>
      <c r="E5" s="7" t="s">
        <v>409</v>
      </c>
      <c r="F5" s="7" t="s">
        <v>410</v>
      </c>
      <c r="G5" s="7" t="s">
        <v>411</v>
      </c>
      <c r="H5" s="7" t="s">
        <v>63</v>
      </c>
    </row>
    <row r="6" spans="1:8">
      <c r="A6" s="5">
        <v>1</v>
      </c>
      <c r="B6" s="5" t="s">
        <v>412</v>
      </c>
      <c r="C6" s="5" t="s">
        <v>413</v>
      </c>
      <c r="D6" s="5" t="s">
        <v>414</v>
      </c>
      <c r="E6" s="5"/>
      <c r="F6" s="5">
        <v>2</v>
      </c>
      <c r="G6" s="5" t="s">
        <v>415</v>
      </c>
      <c r="H6" s="5" t="s">
        <v>416</v>
      </c>
    </row>
    <row r="7" spans="1:8">
      <c r="A7" s="5">
        <v>1</v>
      </c>
      <c r="B7" s="5" t="s">
        <v>417</v>
      </c>
      <c r="C7" s="5" t="s">
        <v>413</v>
      </c>
      <c r="D7" s="5" t="s">
        <v>418</v>
      </c>
      <c r="E7" s="5" t="s">
        <v>412</v>
      </c>
      <c r="F7" s="5">
        <v>10</v>
      </c>
      <c r="G7" s="5" t="s">
        <v>415</v>
      </c>
      <c r="H7" s="5" t="s">
        <v>416</v>
      </c>
    </row>
    <row r="8" spans="1:8">
      <c r="A8" s="5">
        <v>1</v>
      </c>
      <c r="B8" s="5" t="s">
        <v>419</v>
      </c>
      <c r="C8" s="5" t="s">
        <v>413</v>
      </c>
      <c r="D8" s="5" t="s">
        <v>420</v>
      </c>
      <c r="E8" s="5" t="s">
        <v>417</v>
      </c>
      <c r="F8" s="5">
        <v>7</v>
      </c>
      <c r="G8" s="5" t="s">
        <v>415</v>
      </c>
      <c r="H8" s="5" t="s">
        <v>416</v>
      </c>
    </row>
    <row r="9" spans="1:8">
      <c r="A9" s="5">
        <v>1</v>
      </c>
      <c r="B9" s="5" t="s">
        <v>421</v>
      </c>
      <c r="C9" s="5" t="s">
        <v>413</v>
      </c>
      <c r="D9" s="5" t="s">
        <v>422</v>
      </c>
      <c r="E9" s="5" t="s">
        <v>419</v>
      </c>
      <c r="F9" s="5">
        <v>19</v>
      </c>
      <c r="G9" s="5" t="s">
        <v>415</v>
      </c>
      <c r="H9" s="5" t="s">
        <v>416</v>
      </c>
    </row>
    <row r="10" spans="1:8">
      <c r="A10" s="5">
        <v>1</v>
      </c>
      <c r="B10" s="5" t="s">
        <v>423</v>
      </c>
      <c r="C10" s="5" t="s">
        <v>413</v>
      </c>
      <c r="D10" s="5" t="s">
        <v>424</v>
      </c>
      <c r="E10" s="5" t="s">
        <v>421</v>
      </c>
      <c r="F10" s="5">
        <v>7</v>
      </c>
      <c r="G10" s="5" t="s">
        <v>415</v>
      </c>
      <c r="H10" s="5" t="s">
        <v>416</v>
      </c>
    </row>
    <row r="11" spans="1:8">
      <c r="A11" s="5">
        <v>1</v>
      </c>
      <c r="B11" s="5" t="s">
        <v>425</v>
      </c>
      <c r="C11" s="5" t="s">
        <v>413</v>
      </c>
      <c r="D11" s="5" t="s">
        <v>293</v>
      </c>
      <c r="E11" s="5" t="s">
        <v>423</v>
      </c>
      <c r="F11" s="5">
        <v>2</v>
      </c>
      <c r="G11" s="5" t="s">
        <v>415</v>
      </c>
      <c r="H11" s="5" t="s">
        <v>416</v>
      </c>
    </row>
    <row r="12" spans="1:8">
      <c r="A12" s="5">
        <v>2</v>
      </c>
      <c r="B12" s="5" t="s">
        <v>426</v>
      </c>
      <c r="C12" s="5" t="s">
        <v>427</v>
      </c>
      <c r="D12" s="5" t="s">
        <v>428</v>
      </c>
      <c r="E12" s="5"/>
      <c r="F12" s="5">
        <v>1</v>
      </c>
      <c r="G12" s="5" t="s">
        <v>415</v>
      </c>
      <c r="H12" s="5" t="s">
        <v>416</v>
      </c>
    </row>
    <row r="13" spans="1:8">
      <c r="A13" s="5">
        <v>2</v>
      </c>
      <c r="B13" s="5" t="s">
        <v>429</v>
      </c>
      <c r="C13" s="5" t="s">
        <v>430</v>
      </c>
      <c r="D13" s="5" t="s">
        <v>431</v>
      </c>
      <c r="E13" s="5" t="s">
        <v>426</v>
      </c>
      <c r="F13" s="5">
        <v>2</v>
      </c>
      <c r="G13" s="5" t="s">
        <v>415</v>
      </c>
      <c r="H13" s="5" t="s">
        <v>416</v>
      </c>
    </row>
    <row r="14" spans="1:8">
      <c r="A14" s="5">
        <v>2</v>
      </c>
      <c r="B14" s="5" t="s">
        <v>432</v>
      </c>
      <c r="C14" s="5" t="s">
        <v>202</v>
      </c>
      <c r="D14" s="5" t="s">
        <v>433</v>
      </c>
      <c r="E14" s="5" t="s">
        <v>429</v>
      </c>
      <c r="F14" s="5">
        <v>2</v>
      </c>
      <c r="G14" s="5" t="s">
        <v>415</v>
      </c>
      <c r="H14" s="5" t="s">
        <v>416</v>
      </c>
    </row>
    <row r="15" spans="1:8">
      <c r="A15" s="5">
        <v>2</v>
      </c>
      <c r="B15" s="5" t="s">
        <v>434</v>
      </c>
      <c r="C15" s="5" t="s">
        <v>435</v>
      </c>
      <c r="D15" s="5" t="s">
        <v>436</v>
      </c>
      <c r="E15" s="5" t="s">
        <v>432</v>
      </c>
      <c r="F15" s="5">
        <v>4</v>
      </c>
      <c r="G15" s="5" t="s">
        <v>415</v>
      </c>
      <c r="H15" s="5" t="s">
        <v>416</v>
      </c>
    </row>
    <row r="16" spans="1:8">
      <c r="A16" s="5">
        <v>2</v>
      </c>
      <c r="B16" s="5" t="s">
        <v>437</v>
      </c>
      <c r="C16" s="5" t="s">
        <v>438</v>
      </c>
      <c r="D16" s="5" t="s">
        <v>439</v>
      </c>
      <c r="E16" s="5" t="s">
        <v>432</v>
      </c>
      <c r="F16" s="5">
        <v>4</v>
      </c>
      <c r="G16" s="5" t="s">
        <v>440</v>
      </c>
      <c r="H16" s="5" t="s">
        <v>416</v>
      </c>
    </row>
    <row r="17" spans="1:8">
      <c r="A17" s="5">
        <v>2</v>
      </c>
      <c r="B17" s="5" t="s">
        <v>441</v>
      </c>
      <c r="C17" s="5" t="s">
        <v>193</v>
      </c>
      <c r="D17" s="5" t="s">
        <v>442</v>
      </c>
      <c r="E17" s="5" t="s">
        <v>434</v>
      </c>
      <c r="F17" s="5">
        <v>3</v>
      </c>
      <c r="G17" s="5" t="s">
        <v>415</v>
      </c>
      <c r="H17" s="5" t="s">
        <v>416</v>
      </c>
    </row>
    <row r="18" spans="1:8">
      <c r="A18" s="5">
        <v>2</v>
      </c>
      <c r="B18" s="5" t="s">
        <v>443</v>
      </c>
      <c r="C18" s="5" t="s">
        <v>435</v>
      </c>
      <c r="D18" s="5" t="s">
        <v>444</v>
      </c>
      <c r="E18" s="5" t="s">
        <v>434</v>
      </c>
      <c r="F18" s="5">
        <v>5</v>
      </c>
      <c r="G18" s="5" t="s">
        <v>415</v>
      </c>
      <c r="H18" s="5" t="s">
        <v>416</v>
      </c>
    </row>
    <row r="19" spans="1:8">
      <c r="A19" s="5">
        <v>2</v>
      </c>
      <c r="B19" s="5" t="s">
        <v>445</v>
      </c>
      <c r="C19" s="5" t="s">
        <v>193</v>
      </c>
      <c r="D19" s="5" t="s">
        <v>446</v>
      </c>
      <c r="E19" s="5" t="s">
        <v>441</v>
      </c>
      <c r="F19" s="5">
        <v>4</v>
      </c>
      <c r="G19" s="5" t="s">
        <v>440</v>
      </c>
      <c r="H19" s="5" t="s">
        <v>416</v>
      </c>
    </row>
    <row r="20" spans="1:8">
      <c r="A20" s="5">
        <v>2</v>
      </c>
      <c r="B20" s="5" t="s">
        <v>447</v>
      </c>
      <c r="C20" s="5" t="s">
        <v>448</v>
      </c>
      <c r="D20" s="5" t="s">
        <v>449</v>
      </c>
      <c r="E20" s="5" t="s">
        <v>450</v>
      </c>
      <c r="F20" s="5">
        <v>3</v>
      </c>
      <c r="G20" s="5" t="s">
        <v>415</v>
      </c>
      <c r="H20" s="5" t="s">
        <v>416</v>
      </c>
    </row>
    <row r="21" spans="1:8">
      <c r="A21" s="5">
        <v>2</v>
      </c>
      <c r="B21" s="5" t="s">
        <v>451</v>
      </c>
      <c r="C21" s="5" t="s">
        <v>269</v>
      </c>
      <c r="D21" s="5" t="s">
        <v>452</v>
      </c>
      <c r="E21" s="5" t="s">
        <v>453</v>
      </c>
      <c r="F21" s="5">
        <v>11</v>
      </c>
      <c r="G21" s="5" t="s">
        <v>440</v>
      </c>
      <c r="H21" s="5" t="s">
        <v>416</v>
      </c>
    </row>
    <row r="22" spans="1:8">
      <c r="A22" s="5">
        <v>2</v>
      </c>
      <c r="B22" s="5" t="s">
        <v>454</v>
      </c>
      <c r="C22" s="5" t="s">
        <v>244</v>
      </c>
      <c r="D22" s="5" t="s">
        <v>455</v>
      </c>
      <c r="E22" s="5" t="s">
        <v>451</v>
      </c>
      <c r="F22" s="5">
        <v>5</v>
      </c>
      <c r="G22" s="5" t="s">
        <v>440</v>
      </c>
      <c r="H22" s="5" t="s">
        <v>416</v>
      </c>
    </row>
    <row r="23" spans="1:8">
      <c r="A23" s="5">
        <v>2</v>
      </c>
      <c r="B23" s="5" t="s">
        <v>456</v>
      </c>
      <c r="C23" s="5" t="s">
        <v>293</v>
      </c>
      <c r="D23" s="5" t="s">
        <v>457</v>
      </c>
      <c r="E23" s="5" t="s">
        <v>454</v>
      </c>
      <c r="F23" s="5">
        <v>3</v>
      </c>
      <c r="G23" s="5" t="s">
        <v>440</v>
      </c>
      <c r="H23" s="5" t="s">
        <v>416</v>
      </c>
    </row>
    <row r="24" spans="1:8">
      <c r="A24" s="5">
        <v>3</v>
      </c>
      <c r="B24" s="5" t="s">
        <v>426</v>
      </c>
      <c r="C24" s="5" t="s">
        <v>427</v>
      </c>
      <c r="D24" s="5" t="s">
        <v>428</v>
      </c>
      <c r="E24" s="5"/>
      <c r="F24" s="5">
        <v>1</v>
      </c>
      <c r="G24" s="5" t="s">
        <v>415</v>
      </c>
      <c r="H24" s="5" t="s">
        <v>416</v>
      </c>
    </row>
    <row r="25" spans="1:8">
      <c r="A25" s="5">
        <v>3</v>
      </c>
      <c r="B25" s="5" t="s">
        <v>429</v>
      </c>
      <c r="C25" s="5" t="s">
        <v>430</v>
      </c>
      <c r="D25" s="5" t="s">
        <v>431</v>
      </c>
      <c r="E25" s="5" t="s">
        <v>426</v>
      </c>
      <c r="F25" s="5">
        <v>2</v>
      </c>
      <c r="G25" s="5" t="s">
        <v>415</v>
      </c>
      <c r="H25" s="5" t="s">
        <v>416</v>
      </c>
    </row>
    <row r="26" spans="1:8">
      <c r="A26" s="5">
        <v>3</v>
      </c>
      <c r="B26" s="5" t="s">
        <v>432</v>
      </c>
      <c r="C26" s="5" t="s">
        <v>202</v>
      </c>
      <c r="D26" s="5" t="s">
        <v>433</v>
      </c>
      <c r="E26" s="5" t="s">
        <v>429</v>
      </c>
      <c r="F26" s="5">
        <v>2</v>
      </c>
      <c r="G26" s="5" t="s">
        <v>415</v>
      </c>
      <c r="H26" s="5" t="s">
        <v>416</v>
      </c>
    </row>
    <row r="27" spans="1:8">
      <c r="A27" s="5">
        <v>3</v>
      </c>
      <c r="B27" s="5" t="s">
        <v>434</v>
      </c>
      <c r="C27" s="5" t="s">
        <v>435</v>
      </c>
      <c r="D27" s="5" t="s">
        <v>436</v>
      </c>
      <c r="E27" s="5" t="s">
        <v>432</v>
      </c>
      <c r="F27" s="5">
        <v>4</v>
      </c>
      <c r="G27" s="5" t="s">
        <v>415</v>
      </c>
      <c r="H27" s="5" t="s">
        <v>416</v>
      </c>
    </row>
    <row r="28" spans="1:8">
      <c r="A28" s="5">
        <v>3</v>
      </c>
      <c r="B28" s="5" t="s">
        <v>437</v>
      </c>
      <c r="C28" s="5" t="s">
        <v>438</v>
      </c>
      <c r="D28" s="5" t="s">
        <v>439</v>
      </c>
      <c r="E28" s="5" t="s">
        <v>432</v>
      </c>
      <c r="F28" s="5">
        <v>4</v>
      </c>
      <c r="G28" s="5" t="s">
        <v>440</v>
      </c>
      <c r="H28" s="5" t="s">
        <v>416</v>
      </c>
    </row>
    <row r="29" spans="1:8">
      <c r="A29" s="5">
        <v>3</v>
      </c>
      <c r="B29" s="5" t="s">
        <v>441</v>
      </c>
      <c r="C29" s="5" t="s">
        <v>193</v>
      </c>
      <c r="D29" s="5" t="s">
        <v>442</v>
      </c>
      <c r="E29" s="5" t="s">
        <v>434</v>
      </c>
      <c r="F29" s="5">
        <v>3</v>
      </c>
      <c r="G29" s="5" t="s">
        <v>415</v>
      </c>
      <c r="H29" s="5" t="s">
        <v>416</v>
      </c>
    </row>
    <row r="30" spans="1:8">
      <c r="A30" s="5">
        <v>3</v>
      </c>
      <c r="B30" s="5" t="s">
        <v>443</v>
      </c>
      <c r="C30" s="5" t="s">
        <v>435</v>
      </c>
      <c r="D30" s="5" t="s">
        <v>444</v>
      </c>
      <c r="E30" s="5" t="s">
        <v>434</v>
      </c>
      <c r="F30" s="5">
        <v>5</v>
      </c>
      <c r="G30" s="5" t="s">
        <v>415</v>
      </c>
      <c r="H30" s="5" t="s">
        <v>416</v>
      </c>
    </row>
    <row r="31" spans="1:8">
      <c r="A31" s="5">
        <v>3</v>
      </c>
      <c r="B31" s="5" t="s">
        <v>445</v>
      </c>
      <c r="C31" s="5" t="s">
        <v>193</v>
      </c>
      <c r="D31" s="5" t="s">
        <v>446</v>
      </c>
      <c r="E31" s="5" t="s">
        <v>441</v>
      </c>
      <c r="F31" s="5">
        <v>4</v>
      </c>
      <c r="G31" s="5" t="s">
        <v>440</v>
      </c>
      <c r="H31" s="5" t="s">
        <v>416</v>
      </c>
    </row>
    <row r="32" spans="1:8">
      <c r="A32" s="5">
        <v>3</v>
      </c>
      <c r="B32" s="5" t="s">
        <v>447</v>
      </c>
      <c r="C32" s="5" t="s">
        <v>448</v>
      </c>
      <c r="D32" s="5" t="s">
        <v>449</v>
      </c>
      <c r="E32" s="5" t="s">
        <v>450</v>
      </c>
      <c r="F32" s="5">
        <v>3</v>
      </c>
      <c r="G32" s="5" t="s">
        <v>415</v>
      </c>
      <c r="H32" s="5" t="s">
        <v>416</v>
      </c>
    </row>
    <row r="33" spans="1:8">
      <c r="A33" s="5">
        <v>3</v>
      </c>
      <c r="B33" s="5" t="s">
        <v>451</v>
      </c>
      <c r="C33" s="5" t="s">
        <v>269</v>
      </c>
      <c r="D33" s="5" t="s">
        <v>452</v>
      </c>
      <c r="E33" s="5" t="s">
        <v>453</v>
      </c>
      <c r="F33" s="5">
        <v>11</v>
      </c>
      <c r="G33" s="5" t="s">
        <v>440</v>
      </c>
      <c r="H33" s="5" t="s">
        <v>416</v>
      </c>
    </row>
    <row r="34" spans="1:8">
      <c r="A34" s="5">
        <v>3</v>
      </c>
      <c r="B34" s="5" t="s">
        <v>454</v>
      </c>
      <c r="C34" s="5" t="s">
        <v>244</v>
      </c>
      <c r="D34" s="5" t="s">
        <v>455</v>
      </c>
      <c r="E34" s="5" t="s">
        <v>451</v>
      </c>
      <c r="F34" s="5">
        <v>5</v>
      </c>
      <c r="G34" s="5" t="s">
        <v>440</v>
      </c>
      <c r="H34" s="5" t="s">
        <v>416</v>
      </c>
    </row>
    <row r="35" spans="1:8">
      <c r="A35" s="5">
        <v>3</v>
      </c>
      <c r="B35" s="5" t="s">
        <v>456</v>
      </c>
      <c r="C35" s="5" t="s">
        <v>293</v>
      </c>
      <c r="D35" s="5" t="s">
        <v>457</v>
      </c>
      <c r="E35" s="5" t="s">
        <v>454</v>
      </c>
      <c r="F35" s="5">
        <v>3</v>
      </c>
      <c r="G35" s="5" t="s">
        <v>440</v>
      </c>
      <c r="H35" s="5" t="s">
        <v>416</v>
      </c>
    </row>
    <row r="36" spans="1:8">
      <c r="A36" s="5">
        <v>4</v>
      </c>
      <c r="B36" s="5" t="s">
        <v>426</v>
      </c>
      <c r="C36" s="5" t="s">
        <v>427</v>
      </c>
      <c r="D36" s="5" t="s">
        <v>428</v>
      </c>
      <c r="E36" s="5"/>
      <c r="F36" s="5">
        <v>1</v>
      </c>
      <c r="G36" s="5" t="s">
        <v>415</v>
      </c>
      <c r="H36" s="5" t="s">
        <v>416</v>
      </c>
    </row>
    <row r="37" spans="1:8">
      <c r="A37" s="5">
        <v>4</v>
      </c>
      <c r="B37" s="5" t="s">
        <v>429</v>
      </c>
      <c r="C37" s="5" t="s">
        <v>430</v>
      </c>
      <c r="D37" s="5" t="s">
        <v>431</v>
      </c>
      <c r="E37" s="5" t="s">
        <v>426</v>
      </c>
      <c r="F37" s="5">
        <v>2</v>
      </c>
      <c r="G37" s="5" t="s">
        <v>415</v>
      </c>
      <c r="H37" s="5" t="s">
        <v>416</v>
      </c>
    </row>
    <row r="38" spans="1:8">
      <c r="A38" s="5">
        <v>4</v>
      </c>
      <c r="B38" s="5" t="s">
        <v>432</v>
      </c>
      <c r="C38" s="5" t="s">
        <v>202</v>
      </c>
      <c r="D38" s="5" t="s">
        <v>433</v>
      </c>
      <c r="E38" s="5" t="s">
        <v>429</v>
      </c>
      <c r="F38" s="5">
        <v>2</v>
      </c>
      <c r="G38" s="5" t="s">
        <v>415</v>
      </c>
      <c r="H38" s="5" t="s">
        <v>416</v>
      </c>
    </row>
    <row r="39" spans="1:8">
      <c r="A39" s="5">
        <v>4</v>
      </c>
      <c r="B39" s="5" t="s">
        <v>434</v>
      </c>
      <c r="C39" s="5" t="s">
        <v>435</v>
      </c>
      <c r="D39" s="5" t="s">
        <v>436</v>
      </c>
      <c r="E39" s="5" t="s">
        <v>432</v>
      </c>
      <c r="F39" s="5">
        <v>4</v>
      </c>
      <c r="G39" s="5" t="s">
        <v>415</v>
      </c>
      <c r="H39" s="5" t="s">
        <v>416</v>
      </c>
    </row>
    <row r="40" spans="1:8">
      <c r="A40" s="5">
        <v>4</v>
      </c>
      <c r="B40" s="5" t="s">
        <v>437</v>
      </c>
      <c r="C40" s="5" t="s">
        <v>438</v>
      </c>
      <c r="D40" s="5" t="s">
        <v>439</v>
      </c>
      <c r="E40" s="5" t="s">
        <v>432</v>
      </c>
      <c r="F40" s="5">
        <v>4</v>
      </c>
      <c r="G40" s="5" t="s">
        <v>440</v>
      </c>
      <c r="H40" s="5" t="s">
        <v>416</v>
      </c>
    </row>
    <row r="41" spans="1:8">
      <c r="A41" s="5">
        <v>4</v>
      </c>
      <c r="B41" s="5" t="s">
        <v>441</v>
      </c>
      <c r="C41" s="5" t="s">
        <v>193</v>
      </c>
      <c r="D41" s="5" t="s">
        <v>442</v>
      </c>
      <c r="E41" s="5" t="s">
        <v>434</v>
      </c>
      <c r="F41" s="5">
        <v>3</v>
      </c>
      <c r="G41" s="5" t="s">
        <v>415</v>
      </c>
      <c r="H41" s="5" t="s">
        <v>416</v>
      </c>
    </row>
    <row r="42" spans="1:8">
      <c r="A42" s="5">
        <v>4</v>
      </c>
      <c r="B42" s="5" t="s">
        <v>443</v>
      </c>
      <c r="C42" s="5" t="s">
        <v>435</v>
      </c>
      <c r="D42" s="5" t="s">
        <v>444</v>
      </c>
      <c r="E42" s="5" t="s">
        <v>434</v>
      </c>
      <c r="F42" s="5">
        <v>5</v>
      </c>
      <c r="G42" s="5" t="s">
        <v>415</v>
      </c>
      <c r="H42" s="5" t="s">
        <v>416</v>
      </c>
    </row>
    <row r="43" spans="1:8">
      <c r="A43" s="5">
        <v>4</v>
      </c>
      <c r="B43" s="5" t="s">
        <v>445</v>
      </c>
      <c r="C43" s="5" t="s">
        <v>193</v>
      </c>
      <c r="D43" s="5" t="s">
        <v>446</v>
      </c>
      <c r="E43" s="5" t="s">
        <v>441</v>
      </c>
      <c r="F43" s="5">
        <v>4</v>
      </c>
      <c r="G43" s="5" t="s">
        <v>440</v>
      </c>
      <c r="H43" s="5" t="s">
        <v>416</v>
      </c>
    </row>
    <row r="44" spans="1:8">
      <c r="A44" s="5">
        <v>4</v>
      </c>
      <c r="B44" s="5" t="s">
        <v>447</v>
      </c>
      <c r="C44" s="5" t="s">
        <v>448</v>
      </c>
      <c r="D44" s="5" t="s">
        <v>449</v>
      </c>
      <c r="E44" s="5" t="s">
        <v>450</v>
      </c>
      <c r="F44" s="5">
        <v>3</v>
      </c>
      <c r="G44" s="5" t="s">
        <v>415</v>
      </c>
      <c r="H44" s="5" t="s">
        <v>416</v>
      </c>
    </row>
    <row r="45" spans="1:8">
      <c r="A45" s="5">
        <v>4</v>
      </c>
      <c r="B45" s="5" t="s">
        <v>451</v>
      </c>
      <c r="C45" s="5" t="s">
        <v>269</v>
      </c>
      <c r="D45" s="5" t="s">
        <v>452</v>
      </c>
      <c r="E45" s="5" t="s">
        <v>453</v>
      </c>
      <c r="F45" s="5">
        <v>11</v>
      </c>
      <c r="G45" s="5" t="s">
        <v>440</v>
      </c>
      <c r="H45" s="5" t="s">
        <v>416</v>
      </c>
    </row>
    <row r="46" spans="1:8">
      <c r="A46" s="5">
        <v>4</v>
      </c>
      <c r="B46" s="5" t="s">
        <v>454</v>
      </c>
      <c r="C46" s="5" t="s">
        <v>244</v>
      </c>
      <c r="D46" s="5" t="s">
        <v>455</v>
      </c>
      <c r="E46" s="5" t="s">
        <v>451</v>
      </c>
      <c r="F46" s="5">
        <v>5</v>
      </c>
      <c r="G46" s="5" t="s">
        <v>440</v>
      </c>
      <c r="H46" s="5" t="s">
        <v>416</v>
      </c>
    </row>
    <row r="47" spans="1:8">
      <c r="A47" s="5">
        <v>4</v>
      </c>
      <c r="B47" s="5" t="s">
        <v>456</v>
      </c>
      <c r="C47" s="5" t="s">
        <v>293</v>
      </c>
      <c r="D47" s="5" t="s">
        <v>457</v>
      </c>
      <c r="E47" s="5" t="s">
        <v>454</v>
      </c>
      <c r="F47" s="5">
        <v>3</v>
      </c>
      <c r="G47" s="5" t="s">
        <v>440</v>
      </c>
      <c r="H47" s="5" t="s">
        <v>416</v>
      </c>
    </row>
    <row r="48" spans="1:8">
      <c r="A48" s="5">
        <v>4</v>
      </c>
      <c r="B48" s="5" t="s">
        <v>458</v>
      </c>
      <c r="C48" s="5" t="s">
        <v>459</v>
      </c>
      <c r="D48" s="5" t="s">
        <v>460</v>
      </c>
      <c r="E48" s="5" t="s">
        <v>451</v>
      </c>
      <c r="F48" s="5">
        <v>2</v>
      </c>
      <c r="G48" s="5" t="s">
        <v>440</v>
      </c>
      <c r="H48" s="5" t="s">
        <v>416</v>
      </c>
    </row>
    <row r="49" spans="1:8">
      <c r="A49" s="5">
        <v>4</v>
      </c>
      <c r="B49" s="5" t="s">
        <v>461</v>
      </c>
      <c r="C49" s="5" t="s">
        <v>459</v>
      </c>
      <c r="D49" s="5" t="s">
        <v>462</v>
      </c>
      <c r="E49" s="5" t="s">
        <v>458</v>
      </c>
      <c r="F49" s="5">
        <v>2</v>
      </c>
      <c r="G49" s="5" t="s">
        <v>440</v>
      </c>
      <c r="H49" s="5" t="s">
        <v>416</v>
      </c>
    </row>
    <row r="50" spans="1:8">
      <c r="A50" s="5">
        <v>4</v>
      </c>
      <c r="B50" s="5" t="s">
        <v>463</v>
      </c>
      <c r="C50" s="5" t="s">
        <v>459</v>
      </c>
      <c r="D50" s="5" t="s">
        <v>464</v>
      </c>
      <c r="E50" s="5" t="s">
        <v>461</v>
      </c>
      <c r="F50" s="5">
        <v>2</v>
      </c>
      <c r="G50" s="5" t="s">
        <v>440</v>
      </c>
      <c r="H50" s="5" t="s">
        <v>416</v>
      </c>
    </row>
    <row r="51" spans="1:8">
      <c r="A51" s="5">
        <v>4</v>
      </c>
      <c r="B51" s="5" t="s">
        <v>465</v>
      </c>
      <c r="C51" s="5" t="s">
        <v>459</v>
      </c>
      <c r="D51" s="5" t="s">
        <v>466</v>
      </c>
      <c r="E51" s="5" t="s">
        <v>463</v>
      </c>
      <c r="F51" s="5">
        <v>2</v>
      </c>
      <c r="G51" s="5" t="s">
        <v>440</v>
      </c>
      <c r="H51" s="5" t="s">
        <v>416</v>
      </c>
    </row>
    <row r="52" spans="1:8">
      <c r="A52" s="5">
        <v>4</v>
      </c>
      <c r="B52" s="5" t="s">
        <v>467</v>
      </c>
      <c r="C52" s="5" t="s">
        <v>459</v>
      </c>
      <c r="D52" s="5" t="s">
        <v>468</v>
      </c>
      <c r="E52" s="5" t="s">
        <v>465</v>
      </c>
      <c r="F52" s="5">
        <v>2</v>
      </c>
      <c r="G52" s="5" t="s">
        <v>440</v>
      </c>
      <c r="H52" s="5" t="s">
        <v>416</v>
      </c>
    </row>
    <row r="53" spans="1:8">
      <c r="A53" s="5">
        <v>5</v>
      </c>
      <c r="B53" s="5" t="s">
        <v>426</v>
      </c>
      <c r="C53" s="5" t="s">
        <v>427</v>
      </c>
      <c r="D53" s="5" t="s">
        <v>428</v>
      </c>
      <c r="E53" s="5"/>
      <c r="F53" s="5">
        <v>1</v>
      </c>
      <c r="G53" s="5" t="s">
        <v>415</v>
      </c>
      <c r="H53" s="5" t="s">
        <v>416</v>
      </c>
    </row>
    <row r="54" spans="1:8">
      <c r="A54" s="5">
        <v>5</v>
      </c>
      <c r="B54" s="5" t="s">
        <v>429</v>
      </c>
      <c r="C54" s="5" t="s">
        <v>430</v>
      </c>
      <c r="D54" s="5" t="s">
        <v>431</v>
      </c>
      <c r="E54" s="5" t="s">
        <v>426</v>
      </c>
      <c r="F54" s="5">
        <v>2</v>
      </c>
      <c r="G54" s="5" t="s">
        <v>415</v>
      </c>
      <c r="H54" s="5" t="s">
        <v>416</v>
      </c>
    </row>
    <row r="55" spans="1:8">
      <c r="A55" s="5">
        <v>5</v>
      </c>
      <c r="B55" s="5" t="s">
        <v>432</v>
      </c>
      <c r="C55" s="5" t="s">
        <v>202</v>
      </c>
      <c r="D55" s="5" t="s">
        <v>433</v>
      </c>
      <c r="E55" s="5" t="s">
        <v>429</v>
      </c>
      <c r="F55" s="5">
        <v>2</v>
      </c>
      <c r="G55" s="5" t="s">
        <v>415</v>
      </c>
      <c r="H55" s="5" t="s">
        <v>416</v>
      </c>
    </row>
    <row r="56" spans="1:8">
      <c r="A56" s="5">
        <v>5</v>
      </c>
      <c r="B56" s="5" t="s">
        <v>434</v>
      </c>
      <c r="C56" s="5" t="s">
        <v>435</v>
      </c>
      <c r="D56" s="5" t="s">
        <v>436</v>
      </c>
      <c r="E56" s="5" t="s">
        <v>432</v>
      </c>
      <c r="F56" s="5">
        <v>4</v>
      </c>
      <c r="G56" s="5" t="s">
        <v>415</v>
      </c>
      <c r="H56" s="5" t="s">
        <v>416</v>
      </c>
    </row>
    <row r="57" spans="1:8">
      <c r="A57" s="5">
        <v>5</v>
      </c>
      <c r="B57" s="5" t="s">
        <v>437</v>
      </c>
      <c r="C57" s="5" t="s">
        <v>438</v>
      </c>
      <c r="D57" s="5" t="s">
        <v>439</v>
      </c>
      <c r="E57" s="5" t="s">
        <v>432</v>
      </c>
      <c r="F57" s="5">
        <v>4</v>
      </c>
      <c r="G57" s="5" t="s">
        <v>440</v>
      </c>
      <c r="H57" s="5" t="s">
        <v>416</v>
      </c>
    </row>
    <row r="58" spans="1:8">
      <c r="A58" s="5">
        <v>5</v>
      </c>
      <c r="B58" s="5" t="s">
        <v>441</v>
      </c>
      <c r="C58" s="5" t="s">
        <v>193</v>
      </c>
      <c r="D58" s="5" t="s">
        <v>442</v>
      </c>
      <c r="E58" s="5" t="s">
        <v>434</v>
      </c>
      <c r="F58" s="5">
        <v>3</v>
      </c>
      <c r="G58" s="5" t="s">
        <v>415</v>
      </c>
      <c r="H58" s="5" t="s">
        <v>416</v>
      </c>
    </row>
    <row r="59" spans="1:8">
      <c r="A59" s="5">
        <v>5</v>
      </c>
      <c r="B59" s="5" t="s">
        <v>443</v>
      </c>
      <c r="C59" s="5" t="s">
        <v>435</v>
      </c>
      <c r="D59" s="5" t="s">
        <v>444</v>
      </c>
      <c r="E59" s="5" t="s">
        <v>434</v>
      </c>
      <c r="F59" s="5">
        <v>5</v>
      </c>
      <c r="G59" s="5" t="s">
        <v>415</v>
      </c>
      <c r="H59" s="5" t="s">
        <v>416</v>
      </c>
    </row>
    <row r="60" spans="1:8">
      <c r="A60" s="5">
        <v>5</v>
      </c>
      <c r="B60" s="5" t="s">
        <v>445</v>
      </c>
      <c r="C60" s="5" t="s">
        <v>193</v>
      </c>
      <c r="D60" s="5" t="s">
        <v>446</v>
      </c>
      <c r="E60" s="5" t="s">
        <v>441</v>
      </c>
      <c r="F60" s="5">
        <v>4</v>
      </c>
      <c r="G60" s="5" t="s">
        <v>440</v>
      </c>
      <c r="H60" s="5" t="s">
        <v>416</v>
      </c>
    </row>
    <row r="61" spans="1:8">
      <c r="A61" s="5">
        <v>5</v>
      </c>
      <c r="B61" s="5" t="s">
        <v>447</v>
      </c>
      <c r="C61" s="5" t="s">
        <v>448</v>
      </c>
      <c r="D61" s="5" t="s">
        <v>449</v>
      </c>
      <c r="E61" s="5" t="s">
        <v>450</v>
      </c>
      <c r="F61" s="5">
        <v>3</v>
      </c>
      <c r="G61" s="5" t="s">
        <v>415</v>
      </c>
      <c r="H61" s="5" t="s">
        <v>416</v>
      </c>
    </row>
    <row r="62" spans="1:8">
      <c r="A62" s="5">
        <v>5</v>
      </c>
      <c r="B62" s="5" t="s">
        <v>451</v>
      </c>
      <c r="C62" s="5" t="s">
        <v>269</v>
      </c>
      <c r="D62" s="5" t="s">
        <v>452</v>
      </c>
      <c r="E62" s="5" t="s">
        <v>453</v>
      </c>
      <c r="F62" s="5">
        <v>11</v>
      </c>
      <c r="G62" s="5" t="s">
        <v>440</v>
      </c>
      <c r="H62" s="5" t="s">
        <v>416</v>
      </c>
    </row>
    <row r="63" spans="1:8">
      <c r="A63" s="5">
        <v>5</v>
      </c>
      <c r="B63" s="5" t="s">
        <v>454</v>
      </c>
      <c r="C63" s="5" t="s">
        <v>244</v>
      </c>
      <c r="D63" s="5" t="s">
        <v>455</v>
      </c>
      <c r="E63" s="5" t="s">
        <v>451</v>
      </c>
      <c r="F63" s="5">
        <v>5</v>
      </c>
      <c r="G63" s="5" t="s">
        <v>440</v>
      </c>
      <c r="H63" s="5" t="s">
        <v>416</v>
      </c>
    </row>
    <row r="64" spans="1:8">
      <c r="A64" s="5">
        <v>5</v>
      </c>
      <c r="B64" s="5" t="s">
        <v>456</v>
      </c>
      <c r="C64" s="5" t="s">
        <v>293</v>
      </c>
      <c r="D64" s="5" t="s">
        <v>457</v>
      </c>
      <c r="E64" s="5" t="s">
        <v>454</v>
      </c>
      <c r="F64" s="5">
        <v>3</v>
      </c>
      <c r="G64" s="5" t="s">
        <v>440</v>
      </c>
      <c r="H64" s="5" t="s">
        <v>416</v>
      </c>
    </row>
    <row r="65" spans="1:8">
      <c r="A65" s="5">
        <v>5</v>
      </c>
      <c r="B65" s="5" t="s">
        <v>458</v>
      </c>
      <c r="C65" s="5" t="s">
        <v>459</v>
      </c>
      <c r="D65" s="5" t="s">
        <v>460</v>
      </c>
      <c r="E65" s="5" t="s">
        <v>451</v>
      </c>
      <c r="F65" s="5">
        <v>2</v>
      </c>
      <c r="G65" s="5" t="s">
        <v>440</v>
      </c>
      <c r="H65" s="5" t="s">
        <v>416</v>
      </c>
    </row>
    <row r="66" spans="1:8">
      <c r="A66" s="5">
        <v>5</v>
      </c>
      <c r="B66" s="5" t="s">
        <v>469</v>
      </c>
      <c r="C66" s="5" t="s">
        <v>408</v>
      </c>
      <c r="D66" s="5" t="s">
        <v>470</v>
      </c>
      <c r="E66" s="5" t="s">
        <v>451</v>
      </c>
      <c r="F66" s="5">
        <v>1</v>
      </c>
      <c r="G66" s="5" t="s">
        <v>440</v>
      </c>
      <c r="H66" s="5" t="s">
        <v>416</v>
      </c>
    </row>
    <row r="67" spans="1:8">
      <c r="A67" s="5">
        <v>5</v>
      </c>
      <c r="B67" s="5" t="s">
        <v>471</v>
      </c>
      <c r="C67" s="5" t="s">
        <v>408</v>
      </c>
      <c r="D67" s="5" t="s">
        <v>472</v>
      </c>
      <c r="E67" s="5" t="s">
        <v>469</v>
      </c>
      <c r="F67" s="5">
        <v>1</v>
      </c>
      <c r="G67" s="5" t="s">
        <v>440</v>
      </c>
      <c r="H67" s="5" t="s">
        <v>416</v>
      </c>
    </row>
    <row r="68" spans="1:8">
      <c r="A68" s="5">
        <v>5</v>
      </c>
      <c r="B68" s="5" t="s">
        <v>473</v>
      </c>
      <c r="C68" s="5" t="s">
        <v>408</v>
      </c>
      <c r="D68" s="5" t="s">
        <v>474</v>
      </c>
      <c r="E68" s="5" t="s">
        <v>471</v>
      </c>
      <c r="F68" s="5">
        <v>1</v>
      </c>
      <c r="G68" s="5" t="s">
        <v>440</v>
      </c>
      <c r="H68" s="5" t="s">
        <v>416</v>
      </c>
    </row>
    <row r="69" spans="1:8">
      <c r="A69" s="5">
        <v>5</v>
      </c>
      <c r="B69" s="5" t="s">
        <v>461</v>
      </c>
      <c r="C69" s="5" t="s">
        <v>459</v>
      </c>
      <c r="D69" s="5" t="s">
        <v>462</v>
      </c>
      <c r="E69" s="5" t="s">
        <v>458</v>
      </c>
      <c r="F69" s="5">
        <v>2</v>
      </c>
      <c r="G69" s="5" t="s">
        <v>440</v>
      </c>
      <c r="H69" s="5" t="s">
        <v>416</v>
      </c>
    </row>
    <row r="70" spans="1:8">
      <c r="A70" s="5">
        <v>5</v>
      </c>
      <c r="B70" s="5" t="s">
        <v>475</v>
      </c>
      <c r="C70" s="5" t="s">
        <v>408</v>
      </c>
      <c r="D70" s="5" t="s">
        <v>476</v>
      </c>
      <c r="E70" s="5" t="s">
        <v>458</v>
      </c>
      <c r="F70" s="5">
        <v>1</v>
      </c>
      <c r="G70" s="5" t="s">
        <v>440</v>
      </c>
      <c r="H70" s="5" t="s">
        <v>416</v>
      </c>
    </row>
    <row r="71" spans="1:8">
      <c r="A71" s="5">
        <v>5</v>
      </c>
      <c r="B71" s="5" t="s">
        <v>477</v>
      </c>
      <c r="C71" s="5" t="s">
        <v>408</v>
      </c>
      <c r="D71" s="5" t="s">
        <v>478</v>
      </c>
      <c r="E71" s="5" t="s">
        <v>475</v>
      </c>
      <c r="F71" s="5">
        <v>1</v>
      </c>
      <c r="G71" s="5" t="s">
        <v>440</v>
      </c>
      <c r="H71" s="5" t="s">
        <v>416</v>
      </c>
    </row>
    <row r="72" spans="1:8">
      <c r="A72" s="5">
        <v>5</v>
      </c>
      <c r="B72" s="5" t="s">
        <v>479</v>
      </c>
      <c r="C72" s="5" t="s">
        <v>408</v>
      </c>
      <c r="D72" s="5" t="s">
        <v>480</v>
      </c>
      <c r="E72" s="5" t="s">
        <v>477</v>
      </c>
      <c r="F72" s="5">
        <v>1</v>
      </c>
      <c r="G72" s="5" t="s">
        <v>440</v>
      </c>
      <c r="H72" s="5" t="s">
        <v>416</v>
      </c>
    </row>
    <row r="73" spans="1:8">
      <c r="A73" s="5">
        <v>5</v>
      </c>
      <c r="B73" s="5" t="s">
        <v>463</v>
      </c>
      <c r="C73" s="5" t="s">
        <v>459</v>
      </c>
      <c r="D73" s="5" t="s">
        <v>464</v>
      </c>
      <c r="E73" s="5" t="s">
        <v>461</v>
      </c>
      <c r="F73" s="5">
        <v>2</v>
      </c>
      <c r="G73" s="5" t="s">
        <v>440</v>
      </c>
      <c r="H73" s="5" t="s">
        <v>416</v>
      </c>
    </row>
    <row r="74" spans="1:8">
      <c r="A74" s="5">
        <v>5</v>
      </c>
      <c r="B74" s="5" t="s">
        <v>481</v>
      </c>
      <c r="C74" s="5" t="s">
        <v>408</v>
      </c>
      <c r="D74" s="5" t="s">
        <v>482</v>
      </c>
      <c r="E74" s="5" t="s">
        <v>461</v>
      </c>
      <c r="F74" s="5">
        <v>1</v>
      </c>
      <c r="G74" s="5" t="s">
        <v>440</v>
      </c>
      <c r="H74" s="5" t="s">
        <v>416</v>
      </c>
    </row>
    <row r="75" spans="1:8">
      <c r="A75" s="5">
        <v>5</v>
      </c>
      <c r="B75" s="5" t="s">
        <v>483</v>
      </c>
      <c r="C75" s="5" t="s">
        <v>408</v>
      </c>
      <c r="D75" s="5" t="s">
        <v>484</v>
      </c>
      <c r="E75" s="5" t="s">
        <v>481</v>
      </c>
      <c r="F75" s="5">
        <v>1</v>
      </c>
      <c r="G75" s="5" t="s">
        <v>440</v>
      </c>
      <c r="H75" s="5" t="s">
        <v>416</v>
      </c>
    </row>
    <row r="76" spans="1:8">
      <c r="A76" s="5">
        <v>5</v>
      </c>
      <c r="B76" s="5" t="s">
        <v>485</v>
      </c>
      <c r="C76" s="5" t="s">
        <v>408</v>
      </c>
      <c r="D76" s="5" t="s">
        <v>486</v>
      </c>
      <c r="E76" s="5" t="s">
        <v>483</v>
      </c>
      <c r="F76" s="5">
        <v>1</v>
      </c>
      <c r="G76" s="5" t="s">
        <v>440</v>
      </c>
      <c r="H76" s="5" t="s">
        <v>416</v>
      </c>
    </row>
    <row r="77" spans="1:8">
      <c r="A77" s="5">
        <v>5</v>
      </c>
      <c r="B77" s="5" t="s">
        <v>465</v>
      </c>
      <c r="C77" s="5" t="s">
        <v>459</v>
      </c>
      <c r="D77" s="5" t="s">
        <v>466</v>
      </c>
      <c r="E77" s="5" t="s">
        <v>463</v>
      </c>
      <c r="F77" s="5">
        <v>2</v>
      </c>
      <c r="G77" s="5" t="s">
        <v>440</v>
      </c>
      <c r="H77" s="5" t="s">
        <v>416</v>
      </c>
    </row>
    <row r="78" spans="1:8">
      <c r="A78" s="5">
        <v>5</v>
      </c>
      <c r="B78" s="5" t="s">
        <v>487</v>
      </c>
      <c r="C78" s="5" t="s">
        <v>408</v>
      </c>
      <c r="D78" s="5" t="s">
        <v>488</v>
      </c>
      <c r="E78" s="5" t="s">
        <v>463</v>
      </c>
      <c r="F78" s="5">
        <v>1</v>
      </c>
      <c r="G78" s="5" t="s">
        <v>440</v>
      </c>
      <c r="H78" s="5" t="s">
        <v>416</v>
      </c>
    </row>
    <row r="79" spans="1:8">
      <c r="A79" s="5">
        <v>5</v>
      </c>
      <c r="B79" s="5" t="s">
        <v>489</v>
      </c>
      <c r="C79" s="5" t="s">
        <v>408</v>
      </c>
      <c r="D79" s="5" t="s">
        <v>490</v>
      </c>
      <c r="E79" s="5" t="s">
        <v>487</v>
      </c>
      <c r="F79" s="5">
        <v>1</v>
      </c>
      <c r="G79" s="5" t="s">
        <v>440</v>
      </c>
      <c r="H79" s="5" t="s">
        <v>416</v>
      </c>
    </row>
    <row r="80" spans="1:8">
      <c r="A80" s="5">
        <v>5</v>
      </c>
      <c r="B80" s="5" t="s">
        <v>491</v>
      </c>
      <c r="C80" s="5" t="s">
        <v>408</v>
      </c>
      <c r="D80" s="5" t="s">
        <v>492</v>
      </c>
      <c r="E80" s="5" t="s">
        <v>489</v>
      </c>
      <c r="F80" s="5">
        <v>1</v>
      </c>
      <c r="G80" s="5" t="s">
        <v>440</v>
      </c>
      <c r="H80" s="5" t="s">
        <v>416</v>
      </c>
    </row>
    <row r="81" spans="1:8">
      <c r="A81" s="5">
        <v>5</v>
      </c>
      <c r="B81" s="5" t="s">
        <v>467</v>
      </c>
      <c r="C81" s="5" t="s">
        <v>459</v>
      </c>
      <c r="D81" s="5" t="s">
        <v>468</v>
      </c>
      <c r="E81" s="5" t="s">
        <v>465</v>
      </c>
      <c r="F81" s="5">
        <v>2</v>
      </c>
      <c r="G81" s="5" t="s">
        <v>440</v>
      </c>
      <c r="H81" s="5" t="s">
        <v>416</v>
      </c>
    </row>
    <row r="82" spans="1:8">
      <c r="A82" s="5">
        <v>5</v>
      </c>
      <c r="B82" s="5" t="s">
        <v>493</v>
      </c>
      <c r="C82" s="5" t="s">
        <v>408</v>
      </c>
      <c r="D82" s="5" t="s">
        <v>494</v>
      </c>
      <c r="E82" s="5" t="s">
        <v>465</v>
      </c>
      <c r="F82" s="5">
        <v>1</v>
      </c>
      <c r="G82" s="5" t="s">
        <v>440</v>
      </c>
      <c r="H82" s="5" t="s">
        <v>416</v>
      </c>
    </row>
    <row r="83" spans="1:8">
      <c r="A83" s="5">
        <v>5</v>
      </c>
      <c r="B83" s="5" t="s">
        <v>495</v>
      </c>
      <c r="C83" s="5" t="s">
        <v>408</v>
      </c>
      <c r="D83" s="5" t="s">
        <v>496</v>
      </c>
      <c r="E83" s="5" t="s">
        <v>493</v>
      </c>
      <c r="F83" s="5">
        <v>1</v>
      </c>
      <c r="G83" s="5" t="s">
        <v>440</v>
      </c>
      <c r="H83" s="5" t="s">
        <v>416</v>
      </c>
    </row>
    <row r="84" spans="1:8">
      <c r="A84" s="5">
        <v>5</v>
      </c>
      <c r="B84" s="5" t="s">
        <v>497</v>
      </c>
      <c r="C84" s="5" t="s">
        <v>408</v>
      </c>
      <c r="D84" s="5" t="s">
        <v>498</v>
      </c>
      <c r="E84" s="5" t="s">
        <v>495</v>
      </c>
      <c r="F84" s="5">
        <v>1</v>
      </c>
      <c r="G84" s="5" t="s">
        <v>440</v>
      </c>
      <c r="H84" s="5" t="s">
        <v>416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showGridLines="0" workbookViewId="0"/>
  </sheetViews>
  <sheetFormatPr defaultRowHeight="15"/>
  <cols>
    <col min="1" max="1" width="24.7109375" customWidth="1"/>
    <col min="2" max="2" width="92.7109375" customWidth="1"/>
  </cols>
  <sheetData>
    <row r="1" spans="1:2">
      <c r="A1" s="1" t="s">
        <v>499</v>
      </c>
      <c r="B1" s="1"/>
    </row>
    <row r="4" spans="1:2">
      <c r="A4" s="7" t="s">
        <v>500</v>
      </c>
      <c r="B4" s="7" t="s">
        <v>501</v>
      </c>
    </row>
    <row r="5" spans="1:2">
      <c r="A5" s="5" t="s">
        <v>30</v>
      </c>
      <c r="B5" s="5" t="s">
        <v>39</v>
      </c>
    </row>
    <row r="6" spans="1:2">
      <c r="A6" s="5" t="s">
        <v>502</v>
      </c>
      <c r="B6" s="5" t="s">
        <v>503</v>
      </c>
    </row>
    <row r="7" spans="1:2">
      <c r="A7" s="5" t="s">
        <v>504</v>
      </c>
      <c r="B7" s="5" t="s">
        <v>505</v>
      </c>
    </row>
    <row r="8" spans="1:2">
      <c r="A8" s="5" t="s">
        <v>506</v>
      </c>
      <c r="B8" s="5" t="s">
        <v>507</v>
      </c>
    </row>
    <row r="9" spans="1:2">
      <c r="A9" s="5" t="s">
        <v>508</v>
      </c>
      <c r="B9" s="5" t="s">
        <v>509</v>
      </c>
    </row>
    <row r="10" spans="1:2">
      <c r="A10" s="5" t="s">
        <v>510</v>
      </c>
      <c r="B10" s="5">
        <v>3</v>
      </c>
    </row>
    <row r="11" spans="1:2">
      <c r="A11" s="5" t="s">
        <v>511</v>
      </c>
      <c r="B11" s="5">
        <v>5</v>
      </c>
    </row>
    <row r="12" spans="1:2">
      <c r="A12" s="5" t="s">
        <v>512</v>
      </c>
      <c r="B12" s="5" t="s">
        <v>513</v>
      </c>
    </row>
    <row r="13" spans="1:2">
      <c r="A13" s="5" t="s">
        <v>514</v>
      </c>
      <c r="B13" s="5" t="s">
        <v>515</v>
      </c>
    </row>
    <row r="14" spans="1:2">
      <c r="A14" s="5" t="s">
        <v>516</v>
      </c>
      <c r="B14" s="5" t="s">
        <v>517</v>
      </c>
    </row>
    <row r="15" spans="1:2">
      <c r="A15" s="5" t="s">
        <v>518</v>
      </c>
      <c r="B15" s="5" t="s">
        <v>519</v>
      </c>
    </row>
    <row r="16" spans="1:2">
      <c r="A16" s="5" t="s">
        <v>520</v>
      </c>
      <c r="B16" s="5" t="s">
        <v>521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 Control Centre</vt:lpstr>
      <vt:lpstr>01 Scenario Comparison</vt:lpstr>
      <vt:lpstr>02 Cost Selected</vt:lpstr>
      <vt:lpstr>03 Cost All Classes</vt:lpstr>
      <vt:lpstr>04 Risk Register</vt:lpstr>
      <vt:lpstr>05 QCRA QSRA Curves</vt:lpstr>
      <vt:lpstr>06 Tornado Drivers</vt:lpstr>
      <vt:lpstr>07 Schedule Levels</vt:lpstr>
      <vt:lpstr>08 Basis +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2026-05-05T18:08:01Z</dcterms:created>
  <dcterms:modified xsi:type="dcterms:W3CDTF">2026-05-05T18:08:01Z</dcterms:modified>
</cp:coreProperties>
</file>