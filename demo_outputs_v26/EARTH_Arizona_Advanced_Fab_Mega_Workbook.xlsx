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Drivers'!$B$2:$B$9</f>
            </numRef>
          </cat>
          <val>
            <numRef>
              <f>'Tornado Drivers'!$G$2:$G$9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2026-05-02T20:00:51.659712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Life Sciences Campus</t>
        </is>
      </c>
    </row>
    <row r="5">
      <c r="A5" s="2" t="inlineStr">
        <is>
          <t>Client</t>
        </is>
      </c>
      <c r="B5" s="2" t="inlineStr">
        <is>
          <t>ChipCo</t>
        </is>
      </c>
    </row>
    <row r="6">
      <c r="A6" s="2" t="inlineStr">
        <is>
          <t>Executive Summary</t>
        </is>
      </c>
      <c r="B6" s="2" t="inlineStr">
        <is>
          <t>Life Sciences Campus has been classified as Life Sciences / Pharma in Global / Not specified. CASEY estimates $3.0B P50 cost, $2.4B to $3.9B range, 74 month baseline, Medium risk and 64% confidence under the Base scenario.</t>
        </is>
      </c>
    </row>
    <row r="7">
      <c r="A7" s="2" t="inlineStr">
        <is>
          <t>Mode</t>
        </is>
      </c>
      <c r="B7" s="2" t="inlineStr">
        <is>
          <t>Earth</t>
        </is>
      </c>
    </row>
    <row r="8">
      <c r="A8" s="2" t="inlineStr">
        <is>
          <t>Subsector</t>
        </is>
      </c>
      <c r="B8" s="2" t="inlineStr">
        <is>
          <t>Life Sciences / Pharma</t>
        </is>
      </c>
    </row>
    <row r="9">
      <c r="A9" s="2" t="inlineStr">
        <is>
          <t>Location</t>
        </is>
      </c>
      <c r="B9" s="2" t="inlineStr">
        <is>
          <t>Global / Not specified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$2.4B</t>
        </is>
      </c>
    </row>
    <row r="12">
      <c r="A12" s="2" t="inlineStr">
        <is>
          <t>Cost P50</t>
        </is>
      </c>
      <c r="B12" s="2" t="inlineStr">
        <is>
          <t>$3.0B</t>
        </is>
      </c>
    </row>
    <row r="13">
      <c r="A13" s="2" t="inlineStr">
        <is>
          <t>Cost P90</t>
        </is>
      </c>
      <c r="B13" s="2" t="inlineStr">
        <is>
          <t>$3.9B</t>
        </is>
      </c>
    </row>
    <row r="14">
      <c r="A14" s="2" t="inlineStr">
        <is>
          <t>Schedule</t>
        </is>
      </c>
      <c r="B14" s="2" t="inlineStr">
        <is>
          <t>74 months</t>
        </is>
      </c>
    </row>
    <row r="15">
      <c r="A15" s="2" t="inlineStr">
        <is>
          <t>QCRA P80</t>
        </is>
      </c>
      <c r="B15" s="2" t="inlineStr">
        <is>
          <t>$4.2B</t>
        </is>
      </c>
    </row>
    <row r="16">
      <c r="A16" s="2" t="inlineStr">
        <is>
          <t>QSRA P80</t>
        </is>
      </c>
      <c r="B16" s="2" t="n">
        <v>84.84999999999999</v>
      </c>
    </row>
    <row r="17">
      <c r="A17" s="2" t="inlineStr">
        <is>
          <t>Risk</t>
        </is>
      </c>
      <c r="B17" s="2" t="inlineStr">
        <is>
          <t>Medium</t>
        </is>
      </c>
    </row>
    <row r="18">
      <c r="A18" s="2" t="inlineStr">
        <is>
          <t>Confidence</t>
        </is>
      </c>
      <c r="B18" s="2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Site Preparation / Enabling</t>
        </is>
      </c>
      <c r="C2" s="2" t="inlineStr">
        <is>
          <t>Direct</t>
        </is>
      </c>
      <c r="D2" s="2" t="inlineStr">
        <is>
          <t>Demolition, enabling, logistics and access</t>
        </is>
      </c>
      <c r="E2" s="2" t="n">
        <v>0.144</v>
      </c>
      <c r="F2" s="2" t="n">
        <v>0.18</v>
      </c>
      <c r="G2" s="2" t="n">
        <v>0.234</v>
      </c>
      <c r="H2" s="2" t="inlineStr">
        <is>
          <t>Site Preparation / Enabling priced as 6.0% of P50 from sector template, location factor 1.00, scale factor 1.00, complexity factor 1.25.</t>
        </is>
      </c>
    </row>
    <row r="3">
      <c r="A3" s="2" t="inlineStr">
        <is>
          <t>01.02</t>
        </is>
      </c>
      <c r="B3" s="2" t="inlineStr">
        <is>
          <t>Substructure / Foundations</t>
        </is>
      </c>
      <c r="C3" s="2" t="inlineStr">
        <is>
          <t>Direct</t>
        </is>
      </c>
      <c r="D3" s="2" t="inlineStr">
        <is>
          <t>Piling, groundworks, retaining and foundations</t>
        </is>
      </c>
      <c r="E3" s="2" t="n">
        <v>0.192</v>
      </c>
      <c r="F3" s="2" t="n">
        <v>0.24</v>
      </c>
      <c r="G3" s="2" t="n">
        <v>0.312</v>
      </c>
      <c r="H3" s="2" t="inlineStr">
        <is>
          <t>Substructure / Foundations priced as 8.0% of P50 from sector template, location factor 1.00, scale factor 1.00, complexity factor 1.25.</t>
        </is>
      </c>
    </row>
    <row r="4">
      <c r="A4" s="2" t="inlineStr">
        <is>
          <t>01.03</t>
        </is>
      </c>
      <c r="B4" s="2" t="inlineStr">
        <is>
          <t>Superstructure / Civil Works</t>
        </is>
      </c>
      <c r="C4" s="2" t="inlineStr">
        <is>
          <t>Direct</t>
        </is>
      </c>
      <c r="D4" s="2" t="inlineStr">
        <is>
          <t>Frame, civils, primary structures</t>
        </is>
      </c>
      <c r="E4" s="2" t="n">
        <v>0.336</v>
      </c>
      <c r="F4" s="2" t="n">
        <v>0.42</v>
      </c>
      <c r="G4" s="2" t="n">
        <v>0.546</v>
      </c>
      <c r="H4" s="2" t="inlineStr">
        <is>
          <t>Superstructure / Civil Works priced as 14.0% of P50 from sector template, location factor 1.00, scale factor 1.00, complexity factor 1.25.</t>
        </is>
      </c>
    </row>
    <row r="5">
      <c r="A5" s="2" t="inlineStr">
        <is>
          <t>01.04</t>
        </is>
      </c>
      <c r="B5" s="2" t="inlineStr">
        <is>
          <t>MEP / Systems / Utilities</t>
        </is>
      </c>
      <c r="C5" s="2" t="inlineStr">
        <is>
          <t>Direct</t>
        </is>
      </c>
      <c r="D5" s="2" t="inlineStr">
        <is>
          <t>Mechanical, electrical, controls and utilities</t>
        </is>
      </c>
      <c r="E5" s="2" t="n">
        <v>0.336</v>
      </c>
      <c r="F5" s="2" t="n">
        <v>0.42</v>
      </c>
      <c r="G5" s="2" t="n">
        <v>0.546</v>
      </c>
      <c r="H5" s="2" t="inlineStr">
        <is>
          <t>MEP / Systems / Utilities priced as 14.0% of P50 from sector template, location factor 1.00, scale factor 1.00, complexity factor 1.25.</t>
        </is>
      </c>
    </row>
    <row r="6">
      <c r="A6" s="2" t="inlineStr">
        <is>
          <t>01.05</t>
        </is>
      </c>
      <c r="B6" s="2" t="inlineStr">
        <is>
          <t>Specialist Equipment / Fit-Out</t>
        </is>
      </c>
      <c r="C6" s="2" t="inlineStr">
        <is>
          <t>Direct</t>
        </is>
      </c>
      <c r="D6" s="2" t="inlineStr">
        <is>
          <t>Permanent equipment and specialist fit-out</t>
        </is>
      </c>
      <c r="E6" s="2" t="n">
        <v>0.288</v>
      </c>
      <c r="F6" s="2" t="n">
        <v>0.36</v>
      </c>
      <c r="G6" s="2" t="n">
        <v>0.468</v>
      </c>
      <c r="H6" s="2" t="inlineStr">
        <is>
          <t>Specialist Equipment / Fit-Out priced as 12.0% of P50 from sector template, location factor 1.00, scale factor 1.00, complexity factor 1.25.</t>
        </is>
      </c>
    </row>
    <row r="7">
      <c r="A7" s="2" t="inlineStr">
        <is>
          <t>01.06</t>
        </is>
      </c>
      <c r="B7" s="2" t="inlineStr">
        <is>
          <t>Cleanroom Envelope</t>
        </is>
      </c>
      <c r="C7" s="2" t="inlineStr">
        <is>
          <t>Direct</t>
        </is>
      </c>
      <c r="D7" s="2" t="inlineStr">
        <is>
          <t>Cleanroom partitions, finishes and GMP envelope</t>
        </is>
      </c>
      <c r="E7" s="2" t="n">
        <v>0.288</v>
      </c>
      <c r="F7" s="2" t="n">
        <v>0.36</v>
      </c>
      <c r="G7" s="2" t="n">
        <v>0.468</v>
      </c>
      <c r="H7" s="2" t="inlineStr">
        <is>
          <t>Cleanroom Envelope priced as 12.0% of P50 from sector template, location factor 1.00, scale factor 1.00, complexity factor 1.25.</t>
        </is>
      </c>
    </row>
    <row r="8">
      <c r="A8" s="2" t="inlineStr">
        <is>
          <t>01.07</t>
        </is>
      </c>
      <c r="B8" s="2" t="inlineStr">
        <is>
          <t>Process Utilities</t>
        </is>
      </c>
      <c r="C8" s="2" t="inlineStr">
        <is>
          <t>Direct</t>
        </is>
      </c>
      <c r="D8" s="2" t="inlineStr">
        <is>
          <t>WFI, gases, clean steam and process utilities</t>
        </is>
      </c>
      <c r="E8" s="2" t="n">
        <v>0.312</v>
      </c>
      <c r="F8" s="2" t="n">
        <v>0.39</v>
      </c>
      <c r="G8" s="2" t="n">
        <v>0.507</v>
      </c>
      <c r="H8" s="2" t="inlineStr">
        <is>
          <t>Process Utilities priced as 13.0% of P50 from sector template, location factor 1.00, scale factor 1.00, complexity factor 1.25.</t>
        </is>
      </c>
    </row>
    <row r="9">
      <c r="A9" s="2" t="inlineStr">
        <is>
          <t>01.08</t>
        </is>
      </c>
      <c r="B9" s="2" t="inlineStr">
        <is>
          <t>Validation / Qualification</t>
        </is>
      </c>
      <c r="C9" s="2" t="inlineStr">
        <is>
          <t>Indirect</t>
        </is>
      </c>
      <c r="D9" s="2" t="inlineStr">
        <is>
          <t>IQ/OQ/PQ and GMP readiness</t>
        </is>
      </c>
      <c r="E9" s="2" t="n">
        <v>0.12</v>
      </c>
      <c r="F9" s="2" t="n">
        <v>0.15</v>
      </c>
      <c r="G9" s="2" t="n">
        <v>0.195</v>
      </c>
      <c r="H9" s="2" t="inlineStr">
        <is>
          <t>Validation / Qualification priced as 5.0% of P50 from sector template, location factor 1.00, scale factor 1.00, complexity factor 1.25.</t>
        </is>
      </c>
    </row>
    <row r="10">
      <c r="A10" s="2" t="inlineStr">
        <is>
          <t>01.09</t>
        </is>
      </c>
      <c r="B10" s="2" t="inlineStr">
        <is>
          <t>Direct Labour</t>
        </is>
      </c>
      <c r="C10" s="2" t="inlineStr">
        <is>
          <t>Direct</t>
        </is>
      </c>
      <c r="D10" s="2" t="inlineStr">
        <is>
          <t>Productivity, supervision and trade labour</t>
        </is>
      </c>
      <c r="E10" s="2" t="n">
        <v>0.216</v>
      </c>
      <c r="F10" s="2" t="n">
        <v>0.27</v>
      </c>
      <c r="G10" s="2" t="n">
        <v>0.351</v>
      </c>
      <c r="H10" s="2" t="inlineStr">
        <is>
          <t>Direct Labour priced as 9.0% of P50 from sector template, location factor 1.00, scale factor 1.00, complexity factor 1.25.</t>
        </is>
      </c>
    </row>
    <row r="11">
      <c r="A11" s="2" t="inlineStr">
        <is>
          <t>01.10</t>
        </is>
      </c>
      <c r="B11" s="2" t="inlineStr">
        <is>
          <t>Direct Materials</t>
        </is>
      </c>
      <c r="C11" s="2" t="inlineStr">
        <is>
          <t>Direct</t>
        </is>
      </c>
      <c r="D11" s="2" t="inlineStr">
        <is>
          <t>Concrete, steel, envelope, MEP materials</t>
        </is>
      </c>
      <c r="E11" s="2" t="n">
        <v>0.24</v>
      </c>
      <c r="F11" s="2" t="n">
        <v>0.3</v>
      </c>
      <c r="G11" s="2" t="n">
        <v>0.39</v>
      </c>
      <c r="H11" s="2" t="inlineStr">
        <is>
          <t>Direct Materials priced as 10.0% of P50 from sector template, location factor 1.00, scale factor 1.00, complexity factor 1.25.</t>
        </is>
      </c>
    </row>
    <row r="12">
      <c r="A12" s="2" t="inlineStr">
        <is>
          <t>01.11</t>
        </is>
      </c>
      <c r="B12" s="2" t="inlineStr">
        <is>
          <t>Plant / Equipment</t>
        </is>
      </c>
      <c r="C12" s="2" t="inlineStr">
        <is>
          <t>Direct</t>
        </is>
      </c>
      <c r="D12" s="2" t="inlineStr">
        <is>
          <t>Cranes, heavy plant and site equipment</t>
        </is>
      </c>
      <c r="E12" s="2" t="n">
        <v>0.096</v>
      </c>
      <c r="F12" s="2" t="n">
        <v>0.12</v>
      </c>
      <c r="G12" s="2" t="n">
        <v>0.156</v>
      </c>
      <c r="H12" s="2" t="inlineStr">
        <is>
          <t>Plant / Equipment priced as 4.0% of P50 from sector template, location factor 1.00, scale factor 1.00, complexity factor 1.25.</t>
        </is>
      </c>
    </row>
    <row r="13">
      <c r="A13" s="2" t="inlineStr">
        <is>
          <t>02.01</t>
        </is>
      </c>
      <c r="B13" s="2" t="inlineStr">
        <is>
          <t>General Conditions / Prelims</t>
        </is>
      </c>
      <c r="C13" s="2" t="inlineStr">
        <is>
          <t>Indirect</t>
        </is>
      </c>
      <c r="D13" s="2" t="inlineStr">
        <is>
          <t>Site management, safety, offices and temporary services</t>
        </is>
      </c>
      <c r="E13" s="2" t="n">
        <v>0.168</v>
      </c>
      <c r="F13" s="2" t="n">
        <v>0.21</v>
      </c>
      <c r="G13" s="2" t="n">
        <v>0.273</v>
      </c>
      <c r="H13" s="2" t="inlineStr">
        <is>
          <t>General Conditions / Prelims priced as 7.0% of P50 from sector template, location factor 1.00, scale factor 1.00, complexity factor 1.25.</t>
        </is>
      </c>
    </row>
    <row r="14">
      <c r="A14" s="2" t="inlineStr">
        <is>
          <t>02.02</t>
        </is>
      </c>
      <c r="B14" s="2" t="inlineStr">
        <is>
          <t>Design / Professional Fees</t>
        </is>
      </c>
      <c r="C14" s="2" t="inlineStr">
        <is>
          <t>Indirect</t>
        </is>
      </c>
      <c r="D14" s="2" t="inlineStr">
        <is>
          <t>Design, QS, controls, assurance and consultants</t>
        </is>
      </c>
      <c r="E14" s="2" t="n">
        <v>0.168</v>
      </c>
      <c r="F14" s="2" t="n">
        <v>0.21</v>
      </c>
      <c r="G14" s="2" t="n">
        <v>0.273</v>
      </c>
      <c r="H14" s="2" t="inlineStr">
        <is>
          <t>Design / Professional Fees priced as 7.0% of P50 from sector template, location factor 1.00, scale factor 1.00, complexity factor 1.25.</t>
        </is>
      </c>
    </row>
    <row r="15">
      <c r="A15" s="2" t="inlineStr">
        <is>
          <t>02.03</t>
        </is>
      </c>
      <c r="B15" s="2" t="inlineStr">
        <is>
          <t>Permits / Insurance / Bonds</t>
        </is>
      </c>
      <c r="C15" s="2" t="inlineStr">
        <is>
          <t>Indirect</t>
        </is>
      </c>
      <c r="D15" s="2" t="inlineStr">
        <is>
          <t>Permits, inspections, legal, bonds and insurance</t>
        </is>
      </c>
      <c r="E15" s="2" t="n">
        <v>0.07199999999999999</v>
      </c>
      <c r="F15" s="2" t="n">
        <v>0.09</v>
      </c>
      <c r="G15" s="2" t="n">
        <v>0.117</v>
      </c>
      <c r="H15" s="2" t="inlineStr">
        <is>
          <t>Permits / Insurance / Bonds priced as 3.0% of P50 from sector template, location factor 1.00, scale factor 1.00, complexity factor 1.25.</t>
        </is>
      </c>
    </row>
    <row r="16">
      <c r="A16" s="2" t="inlineStr">
        <is>
          <t>03.01</t>
        </is>
      </c>
      <c r="B16" s="2" t="inlineStr">
        <is>
          <t>QCRA Contingency</t>
        </is>
      </c>
      <c r="C16" s="2" t="inlineStr">
        <is>
          <t>Reserve</t>
        </is>
      </c>
      <c r="D16" s="2" t="inlineStr">
        <is>
          <t>Known-unknown risk allowance</t>
        </is>
      </c>
      <c r="E16" s="2" t="n">
        <v>0.144</v>
      </c>
      <c r="F16" s="2" t="n">
        <v>0.18</v>
      </c>
      <c r="G16" s="2" t="n">
        <v>0.234</v>
      </c>
      <c r="H16" s="2" t="inlineStr">
        <is>
          <t>QCRA Contingency priced as 6.0% of P50 from sector template, location factor 1.00, scale factor 1.00, complexity factor 1.25.</t>
        </is>
      </c>
    </row>
    <row r="17">
      <c r="A17" s="2" t="inlineStr">
        <is>
          <t>03.02</t>
        </is>
      </c>
      <c r="B17" s="2" t="inlineStr">
        <is>
          <t>Management Reserve</t>
        </is>
      </c>
      <c r="C17" s="2" t="inlineStr">
        <is>
          <t>Reserve</t>
        </is>
      </c>
      <c r="D17" s="2" t="inlineStr">
        <is>
          <t>Sponsor-held reserve</t>
        </is>
      </c>
      <c r="E17" s="2" t="n">
        <v>0.07199999999999999</v>
      </c>
      <c r="F17" s="2" t="n">
        <v>0.09</v>
      </c>
      <c r="G17" s="2" t="n">
        <v>0.117</v>
      </c>
      <c r="H17" s="2" t="inlineStr">
        <is>
          <t>Management Reserve priced as 3.0% of P50 from sector template, location factor 1.00, scale factor 1.00, complexity factor 1.25.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0.162</v>
      </c>
      <c r="E2" s="2" t="n">
        <v>0.18</v>
      </c>
      <c r="F2" s="2" t="n">
        <v>0.207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0.216</v>
      </c>
      <c r="E3" s="2" t="n">
        <v>0.24</v>
      </c>
      <c r="F3" s="2" t="n">
        <v>0.276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0.378</v>
      </c>
      <c r="E4" s="2" t="n">
        <v>0.42</v>
      </c>
      <c r="F4" s="2" t="n">
        <v>0.483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0.378</v>
      </c>
      <c r="E5" s="2" t="n">
        <v>0.42</v>
      </c>
      <c r="F5" s="2" t="n">
        <v>0.483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0.324</v>
      </c>
      <c r="E6" s="2" t="n">
        <v>0.36</v>
      </c>
      <c r="F6" s="2" t="n">
        <v>0.414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0.324</v>
      </c>
      <c r="E7" s="2" t="n">
        <v>0.36</v>
      </c>
      <c r="F7" s="2" t="n">
        <v>0.414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0.351</v>
      </c>
      <c r="E8" s="2" t="n">
        <v>0.39</v>
      </c>
      <c r="F8" s="2" t="n">
        <v>0.448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0.135</v>
      </c>
      <c r="E9" s="2" t="n">
        <v>0.15</v>
      </c>
      <c r="F9" s="2" t="n">
        <v>0.172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Direct Labour</t>
        </is>
      </c>
      <c r="D10" s="2" t="n">
        <v>0.243</v>
      </c>
      <c r="E10" s="2" t="n">
        <v>0.27</v>
      </c>
      <c r="F10" s="2" t="n">
        <v>0.31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0.27</v>
      </c>
      <c r="E11" s="2" t="n">
        <v>0.3</v>
      </c>
      <c r="F11" s="2" t="n">
        <v>0.345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0.108</v>
      </c>
      <c r="E12" s="2" t="n">
        <v>0.12</v>
      </c>
      <c r="F12" s="2" t="n">
        <v>0.138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0.189</v>
      </c>
      <c r="E13" s="2" t="n">
        <v>0.21</v>
      </c>
      <c r="F13" s="2" t="n">
        <v>0.241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0.189</v>
      </c>
      <c r="E14" s="2" t="n">
        <v>0.21</v>
      </c>
      <c r="F14" s="2" t="n">
        <v>0.241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0.081</v>
      </c>
      <c r="E15" s="2" t="n">
        <v>0.09</v>
      </c>
      <c r="F15" s="2" t="n">
        <v>0.103</v>
      </c>
      <c r="G15" s="2" t="inlineStr">
        <is>
          <t>65-100% definition maturity</t>
        </is>
      </c>
    </row>
    <row r="16">
      <c r="A16" s="2" t="inlineStr">
        <is>
          <t>1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0.162</v>
      </c>
      <c r="E16" s="2" t="n">
        <v>0.18</v>
      </c>
      <c r="F16" s="2" t="n">
        <v>0.207</v>
      </c>
      <c r="G16" s="2" t="inlineStr">
        <is>
          <t>65-100% definition maturity</t>
        </is>
      </c>
    </row>
    <row r="17">
      <c r="A17" s="2" t="inlineStr">
        <is>
          <t>1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0.081</v>
      </c>
      <c r="E17" s="2" t="n">
        <v>0.09</v>
      </c>
      <c r="F17" s="2" t="n">
        <v>0.103</v>
      </c>
      <c r="G17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0.153</v>
      </c>
      <c r="E2" s="2" t="n">
        <v>0.18</v>
      </c>
      <c r="F2" s="2" t="n">
        <v>0.216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0.204</v>
      </c>
      <c r="E3" s="2" t="n">
        <v>0.24</v>
      </c>
      <c r="F3" s="2" t="n">
        <v>0.288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0.357</v>
      </c>
      <c r="E4" s="2" t="n">
        <v>0.42</v>
      </c>
      <c r="F4" s="2" t="n">
        <v>0.504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0.357</v>
      </c>
      <c r="E5" s="2" t="n">
        <v>0.42</v>
      </c>
      <c r="F5" s="2" t="n">
        <v>0.504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0.306</v>
      </c>
      <c r="E6" s="2" t="n">
        <v>0.36</v>
      </c>
      <c r="F6" s="2" t="n">
        <v>0.432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0.306</v>
      </c>
      <c r="E7" s="2" t="n">
        <v>0.36</v>
      </c>
      <c r="F7" s="2" t="n">
        <v>0.432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0.332</v>
      </c>
      <c r="E8" s="2" t="n">
        <v>0.39</v>
      </c>
      <c r="F8" s="2" t="n">
        <v>0.468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0.128</v>
      </c>
      <c r="E9" s="2" t="n">
        <v>0.15</v>
      </c>
      <c r="F9" s="2" t="n">
        <v>0.18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Direct Labour</t>
        </is>
      </c>
      <c r="D10" s="2" t="n">
        <v>0.23</v>
      </c>
      <c r="E10" s="2" t="n">
        <v>0.27</v>
      </c>
      <c r="F10" s="2" t="n">
        <v>0.324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0.255</v>
      </c>
      <c r="E11" s="2" t="n">
        <v>0.3</v>
      </c>
      <c r="F11" s="2" t="n">
        <v>0.36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0.102</v>
      </c>
      <c r="E12" s="2" t="n">
        <v>0.12</v>
      </c>
      <c r="F12" s="2" t="n">
        <v>0.144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0.178</v>
      </c>
      <c r="E13" s="2" t="n">
        <v>0.21</v>
      </c>
      <c r="F13" s="2" t="n">
        <v>0.252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0.178</v>
      </c>
      <c r="E14" s="2" t="n">
        <v>0.21</v>
      </c>
      <c r="F14" s="2" t="n">
        <v>0.252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0.076</v>
      </c>
      <c r="E15" s="2" t="n">
        <v>0.09</v>
      </c>
      <c r="F15" s="2" t="n">
        <v>0.108</v>
      </c>
      <c r="G15" s="2" t="inlineStr">
        <is>
          <t>30-75% definition maturity</t>
        </is>
      </c>
    </row>
    <row r="16">
      <c r="A16" s="2" t="inlineStr">
        <is>
          <t>2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0.153</v>
      </c>
      <c r="E16" s="2" t="n">
        <v>0.18</v>
      </c>
      <c r="F16" s="2" t="n">
        <v>0.216</v>
      </c>
      <c r="G16" s="2" t="inlineStr">
        <is>
          <t>30-75% definition maturity</t>
        </is>
      </c>
    </row>
    <row r="17">
      <c r="A17" s="2" t="inlineStr">
        <is>
          <t>2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0.076</v>
      </c>
      <c r="E17" s="2" t="n">
        <v>0.09</v>
      </c>
      <c r="F17" s="2" t="n">
        <v>0.108</v>
      </c>
      <c r="G17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0.144</v>
      </c>
      <c r="E2" s="2" t="n">
        <v>0.18</v>
      </c>
      <c r="F2" s="2" t="n">
        <v>0.234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0.192</v>
      </c>
      <c r="E3" s="2" t="n">
        <v>0.24</v>
      </c>
      <c r="F3" s="2" t="n">
        <v>0.312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0.336</v>
      </c>
      <c r="E4" s="2" t="n">
        <v>0.42</v>
      </c>
      <c r="F4" s="2" t="n">
        <v>0.546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0.336</v>
      </c>
      <c r="E5" s="2" t="n">
        <v>0.42</v>
      </c>
      <c r="F5" s="2" t="n">
        <v>0.546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0.288</v>
      </c>
      <c r="E6" s="2" t="n">
        <v>0.36</v>
      </c>
      <c r="F6" s="2" t="n">
        <v>0.468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0.288</v>
      </c>
      <c r="E7" s="2" t="n">
        <v>0.36</v>
      </c>
      <c r="F7" s="2" t="n">
        <v>0.468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0.312</v>
      </c>
      <c r="E8" s="2" t="n">
        <v>0.39</v>
      </c>
      <c r="F8" s="2" t="n">
        <v>0.507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0.12</v>
      </c>
      <c r="E9" s="2" t="n">
        <v>0.15</v>
      </c>
      <c r="F9" s="2" t="n">
        <v>0.195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Direct Labour</t>
        </is>
      </c>
      <c r="D10" s="2" t="n">
        <v>0.216</v>
      </c>
      <c r="E10" s="2" t="n">
        <v>0.27</v>
      </c>
      <c r="F10" s="2" t="n">
        <v>0.351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0.24</v>
      </c>
      <c r="E11" s="2" t="n">
        <v>0.3</v>
      </c>
      <c r="F11" s="2" t="n">
        <v>0.39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0.096</v>
      </c>
      <c r="E12" s="2" t="n">
        <v>0.12</v>
      </c>
      <c r="F12" s="2" t="n">
        <v>0.156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0.168</v>
      </c>
      <c r="E13" s="2" t="n">
        <v>0.21</v>
      </c>
      <c r="F13" s="2" t="n">
        <v>0.273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0.168</v>
      </c>
      <c r="E14" s="2" t="n">
        <v>0.21</v>
      </c>
      <c r="F14" s="2" t="n">
        <v>0.273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0.07199999999999999</v>
      </c>
      <c r="E15" s="2" t="n">
        <v>0.09</v>
      </c>
      <c r="F15" s="2" t="n">
        <v>0.117</v>
      </c>
      <c r="G15" s="2" t="inlineStr">
        <is>
          <t>10-40% definition maturity</t>
        </is>
      </c>
    </row>
    <row r="16">
      <c r="A16" s="2" t="inlineStr">
        <is>
          <t>3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0.144</v>
      </c>
      <c r="E16" s="2" t="n">
        <v>0.18</v>
      </c>
      <c r="F16" s="2" t="n">
        <v>0.234</v>
      </c>
      <c r="G16" s="2" t="inlineStr">
        <is>
          <t>10-40% definition maturity</t>
        </is>
      </c>
    </row>
    <row r="17">
      <c r="A17" s="2" t="inlineStr">
        <is>
          <t>3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0.07199999999999999</v>
      </c>
      <c r="E17" s="2" t="n">
        <v>0.09</v>
      </c>
      <c r="F17" s="2" t="n">
        <v>0.117</v>
      </c>
      <c r="G17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0.126</v>
      </c>
      <c r="E2" s="2" t="n">
        <v>0.18</v>
      </c>
      <c r="F2" s="2" t="n">
        <v>0.27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0.168</v>
      </c>
      <c r="E3" s="2" t="n">
        <v>0.24</v>
      </c>
      <c r="F3" s="2" t="n">
        <v>0.36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0.294</v>
      </c>
      <c r="E4" s="2" t="n">
        <v>0.42</v>
      </c>
      <c r="F4" s="2" t="n">
        <v>0.63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0.294</v>
      </c>
      <c r="E5" s="2" t="n">
        <v>0.42</v>
      </c>
      <c r="F5" s="2" t="n">
        <v>0.63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0.252</v>
      </c>
      <c r="E6" s="2" t="n">
        <v>0.36</v>
      </c>
      <c r="F6" s="2" t="n">
        <v>0.54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0.252</v>
      </c>
      <c r="E7" s="2" t="n">
        <v>0.36</v>
      </c>
      <c r="F7" s="2" t="n">
        <v>0.54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0.273</v>
      </c>
      <c r="E8" s="2" t="n">
        <v>0.39</v>
      </c>
      <c r="F8" s="2" t="n">
        <v>0.585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0.105</v>
      </c>
      <c r="E9" s="2" t="n">
        <v>0.15</v>
      </c>
      <c r="F9" s="2" t="n">
        <v>0.225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Direct Labour</t>
        </is>
      </c>
      <c r="D10" s="2" t="n">
        <v>0.189</v>
      </c>
      <c r="E10" s="2" t="n">
        <v>0.27</v>
      </c>
      <c r="F10" s="2" t="n">
        <v>0.405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0.21</v>
      </c>
      <c r="E11" s="2" t="n">
        <v>0.3</v>
      </c>
      <c r="F11" s="2" t="n">
        <v>0.45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0.08400000000000001</v>
      </c>
      <c r="E12" s="2" t="n">
        <v>0.12</v>
      </c>
      <c r="F12" s="2" t="n">
        <v>0.18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0.147</v>
      </c>
      <c r="E13" s="2" t="n">
        <v>0.21</v>
      </c>
      <c r="F13" s="2" t="n">
        <v>0.315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0.147</v>
      </c>
      <c r="E14" s="2" t="n">
        <v>0.21</v>
      </c>
      <c r="F14" s="2" t="n">
        <v>0.315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0.063</v>
      </c>
      <c r="E15" s="2" t="n">
        <v>0.09</v>
      </c>
      <c r="F15" s="2" t="n">
        <v>0.135</v>
      </c>
      <c r="G15" s="2" t="inlineStr">
        <is>
          <t>1-15% definition maturity</t>
        </is>
      </c>
    </row>
    <row r="16">
      <c r="A16" s="2" t="inlineStr">
        <is>
          <t>4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0.126</v>
      </c>
      <c r="E16" s="2" t="n">
        <v>0.18</v>
      </c>
      <c r="F16" s="2" t="n">
        <v>0.27</v>
      </c>
      <c r="G16" s="2" t="inlineStr">
        <is>
          <t>1-15% definition maturity</t>
        </is>
      </c>
    </row>
    <row r="17">
      <c r="A17" s="2" t="inlineStr">
        <is>
          <t>4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0.063</v>
      </c>
      <c r="E17" s="2" t="n">
        <v>0.09</v>
      </c>
      <c r="F17" s="2" t="n">
        <v>0.135</v>
      </c>
      <c r="G17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0.09</v>
      </c>
      <c r="E2" s="2" t="n">
        <v>0.18</v>
      </c>
      <c r="F2" s="2" t="n">
        <v>0.36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0.12</v>
      </c>
      <c r="E3" s="2" t="n">
        <v>0.24</v>
      </c>
      <c r="F3" s="2" t="n">
        <v>0.48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0.21</v>
      </c>
      <c r="E4" s="2" t="n">
        <v>0.42</v>
      </c>
      <c r="F4" s="2" t="n">
        <v>0.84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0.21</v>
      </c>
      <c r="E5" s="2" t="n">
        <v>0.42</v>
      </c>
      <c r="F5" s="2" t="n">
        <v>0.84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0.18</v>
      </c>
      <c r="E6" s="2" t="n">
        <v>0.36</v>
      </c>
      <c r="F6" s="2" t="n">
        <v>0.72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Cleanroom Envelope</t>
        </is>
      </c>
      <c r="D7" s="2" t="n">
        <v>0.18</v>
      </c>
      <c r="E7" s="2" t="n">
        <v>0.36</v>
      </c>
      <c r="F7" s="2" t="n">
        <v>0.72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Process Utilities</t>
        </is>
      </c>
      <c r="D8" s="2" t="n">
        <v>0.195</v>
      </c>
      <c r="E8" s="2" t="n">
        <v>0.39</v>
      </c>
      <c r="F8" s="2" t="n">
        <v>0.78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Validation / Qualification</t>
        </is>
      </c>
      <c r="D9" s="2" t="n">
        <v>0.075</v>
      </c>
      <c r="E9" s="2" t="n">
        <v>0.15</v>
      </c>
      <c r="F9" s="2" t="n">
        <v>0.3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Direct Labour</t>
        </is>
      </c>
      <c r="D10" s="2" t="n">
        <v>0.135</v>
      </c>
      <c r="E10" s="2" t="n">
        <v>0.27</v>
      </c>
      <c r="F10" s="2" t="n">
        <v>0.54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0.15</v>
      </c>
      <c r="E11" s="2" t="n">
        <v>0.3</v>
      </c>
      <c r="F11" s="2" t="n">
        <v>0.6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0.06</v>
      </c>
      <c r="E12" s="2" t="n">
        <v>0.12</v>
      </c>
      <c r="F12" s="2" t="n">
        <v>0.24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0.105</v>
      </c>
      <c r="E13" s="2" t="n">
        <v>0.21</v>
      </c>
      <c r="F13" s="2" t="n">
        <v>0.42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0.105</v>
      </c>
      <c r="E14" s="2" t="n">
        <v>0.21</v>
      </c>
      <c r="F14" s="2" t="n">
        <v>0.42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0.045</v>
      </c>
      <c r="E15" s="2" t="n">
        <v>0.09</v>
      </c>
      <c r="F15" s="2" t="n">
        <v>0.18</v>
      </c>
      <c r="G15" s="2" t="inlineStr">
        <is>
          <t>0-2% definition maturity</t>
        </is>
      </c>
    </row>
    <row r="16">
      <c r="A16" s="2" t="inlineStr">
        <is>
          <t>5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0.09</v>
      </c>
      <c r="E16" s="2" t="n">
        <v>0.18</v>
      </c>
      <c r="F16" s="2" t="n">
        <v>0.36</v>
      </c>
      <c r="G16" s="2" t="inlineStr">
        <is>
          <t>0-2% definition maturity</t>
        </is>
      </c>
    </row>
    <row r="17">
      <c r="A17" s="2" t="inlineStr">
        <is>
          <t>5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0.045</v>
      </c>
      <c r="E17" s="2" t="n">
        <v>0.09</v>
      </c>
      <c r="F17" s="2" t="n">
        <v>0.18</v>
      </c>
      <c r="G17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4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15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11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30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11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4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4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6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7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7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7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5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16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7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4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4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6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7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7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7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5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16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7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4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4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6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7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7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7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5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16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7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Civil / structural package</t>
        </is>
      </c>
      <c r="D14" s="2" t="inlineStr">
        <is>
          <t>A1900</t>
        </is>
      </c>
      <c r="E14" s="2" t="n">
        <v>3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MEP / systems package</t>
        </is>
      </c>
      <c r="D15" s="2" t="inlineStr">
        <is>
          <t>P1000</t>
        </is>
      </c>
      <c r="E15" s="2" t="n">
        <v>3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Specialist equipment package</t>
        </is>
      </c>
      <c r="D16" s="2" t="inlineStr">
        <is>
          <t>P2000</t>
        </is>
      </c>
      <c r="E16" s="2" t="n">
        <v>3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Utilities / interfaces package</t>
        </is>
      </c>
      <c r="D17" s="2" t="inlineStr">
        <is>
          <t>P3000</t>
        </is>
      </c>
      <c r="E17" s="2" t="n">
        <v>3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Testing and commissioning package</t>
        </is>
      </c>
      <c r="D18" s="2" t="inlineStr">
        <is>
          <t>P4000</t>
        </is>
      </c>
      <c r="E18" s="2" t="n">
        <v>3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4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4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6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7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7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7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5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16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7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Civil / structural package</t>
        </is>
      </c>
      <c r="D14" s="2" t="inlineStr">
        <is>
          <t>A1900</t>
        </is>
      </c>
      <c r="E14" s="2" t="n">
        <v>3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Civil / structural package - mobilise / method</t>
        </is>
      </c>
      <c r="D15" s="2" t="inlineStr">
        <is>
          <t>A1900</t>
        </is>
      </c>
      <c r="E15" s="2" t="n">
        <v>1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Civil / structural package - execute works</t>
        </is>
      </c>
      <c r="D16" s="2" t="inlineStr">
        <is>
          <t>P1100</t>
        </is>
      </c>
      <c r="E16" s="2" t="n">
        <v>2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Civil / structural package - inspect / closeout</t>
        </is>
      </c>
      <c r="D17" s="2" t="inlineStr">
        <is>
          <t>P1200</t>
        </is>
      </c>
      <c r="E17" s="2" t="n">
        <v>1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MEP / systems package</t>
        </is>
      </c>
      <c r="D18" s="2" t="inlineStr">
        <is>
          <t>P1000</t>
        </is>
      </c>
      <c r="E18" s="2" t="n">
        <v>3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MEP / systems package - mobilise / method</t>
        </is>
      </c>
      <c r="D19" s="2" t="inlineStr">
        <is>
          <t>P1000</t>
        </is>
      </c>
      <c r="E19" s="2" t="n">
        <v>1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MEP / systems package - execute works</t>
        </is>
      </c>
      <c r="D20" s="2" t="inlineStr">
        <is>
          <t>P2100</t>
        </is>
      </c>
      <c r="E20" s="2" t="n">
        <v>2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MEP / systems package - inspect / closeout</t>
        </is>
      </c>
      <c r="D21" s="2" t="inlineStr">
        <is>
          <t>P2200</t>
        </is>
      </c>
      <c r="E21" s="2" t="n">
        <v>1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Specialist equipment package</t>
        </is>
      </c>
      <c r="D22" s="2" t="inlineStr">
        <is>
          <t>P2000</t>
        </is>
      </c>
      <c r="E22" s="2" t="n">
        <v>3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Specialist equipment package - mobilise / method</t>
        </is>
      </c>
      <c r="D23" s="2" t="inlineStr">
        <is>
          <t>P2000</t>
        </is>
      </c>
      <c r="E23" s="2" t="n">
        <v>1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Specialist equipment package - execute works</t>
        </is>
      </c>
      <c r="D24" s="2" t="inlineStr">
        <is>
          <t>P3100</t>
        </is>
      </c>
      <c r="E24" s="2" t="n">
        <v>2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Specialist equipment package - inspect / closeout</t>
        </is>
      </c>
      <c r="D25" s="2" t="inlineStr">
        <is>
          <t>P3200</t>
        </is>
      </c>
      <c r="E25" s="2" t="n">
        <v>1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Utilities / interfaces package</t>
        </is>
      </c>
      <c r="D26" s="2" t="inlineStr">
        <is>
          <t>P3000</t>
        </is>
      </c>
      <c r="E26" s="2" t="n">
        <v>3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Utilities / interfaces package - mobilise / method</t>
        </is>
      </c>
      <c r="D27" s="2" t="inlineStr">
        <is>
          <t>P3000</t>
        </is>
      </c>
      <c r="E27" s="2" t="n">
        <v>1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Utilities / interfaces package - execute works</t>
        </is>
      </c>
      <c r="D28" s="2" t="inlineStr">
        <is>
          <t>P4100</t>
        </is>
      </c>
      <c r="E28" s="2" t="n">
        <v>2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Utilities / interfaces package - inspect / closeout</t>
        </is>
      </c>
      <c r="D29" s="2" t="inlineStr">
        <is>
          <t>P4200</t>
        </is>
      </c>
      <c r="E29" s="2" t="n">
        <v>1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Testing and commissioning package</t>
        </is>
      </c>
      <c r="D30" s="2" t="inlineStr">
        <is>
          <t>P4000</t>
        </is>
      </c>
      <c r="E30" s="2" t="n">
        <v>3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Testing and commissioning package - mobilise / method</t>
        </is>
      </c>
      <c r="D31" s="2" t="inlineStr">
        <is>
          <t>P4000</t>
        </is>
      </c>
      <c r="E31" s="2" t="n">
        <v>1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Testing and commissioning package - execute works</t>
        </is>
      </c>
      <c r="D32" s="2" t="inlineStr">
        <is>
          <t>P5100</t>
        </is>
      </c>
      <c r="E32" s="2" t="n">
        <v>2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Testing and commissioning package - inspect / closeout</t>
        </is>
      </c>
      <c r="D33" s="2" t="inlineStr">
        <is>
          <t>P5200</t>
        </is>
      </c>
      <c r="E33" s="2" t="n">
        <v>1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R-002</t>
        </is>
      </c>
      <c r="B2" s="2" t="inlineStr">
        <is>
          <t>Market escalation</t>
        </is>
      </c>
      <c r="C2" s="2" t="inlineStr">
        <is>
          <t>Commercial</t>
        </is>
      </c>
      <c r="D2" s="2" t="n">
        <v>45</v>
      </c>
      <c r="E2" s="2" t="inlineStr">
        <is>
          <t>A1500</t>
        </is>
      </c>
      <c r="F2" s="2" t="inlineStr">
        <is>
          <t>01.05</t>
        </is>
      </c>
      <c r="G2" s="2" t="n">
        <v>0</v>
      </c>
      <c r="H2" s="2" t="n">
        <v>0</v>
      </c>
      <c r="I2" s="2" t="n">
        <v>0</v>
      </c>
      <c r="J2" s="2" t="n">
        <v>0.12</v>
      </c>
      <c r="K2" s="2" t="n">
        <v>0.3</v>
      </c>
      <c r="L2" s="2" t="n">
        <v>0.6</v>
      </c>
      <c r="M2" s="2" t="inlineStr">
        <is>
          <t>Commercial Lead</t>
        </is>
      </c>
      <c r="N2" s="2" t="inlineStr">
        <is>
          <t>Index exceeds allowance</t>
        </is>
      </c>
      <c r="O2" s="2" t="inlineStr">
        <is>
          <t>Early procurement, index strategy, market testing</t>
        </is>
      </c>
      <c r="P2" s="2" t="inlineStr">
        <is>
          <t>Cost impact derived from 01.05 Specialist Equipment / Fit-Out exposure, project P50 $3.0B, and risk severity (4%/10%/20%).</t>
        </is>
      </c>
      <c r="Q2" s="2" t="inlineStr">
        <is>
          <t>Schedule impact mapped to A1500 Procurement strategy and tender packaging with O/M/P delay 0/0/0 days and critical path sensitivity.</t>
        </is>
      </c>
    </row>
    <row r="3">
      <c r="A3" s="2" t="inlineStr">
        <is>
          <t>R-001</t>
        </is>
      </c>
      <c r="B3" s="2" t="inlineStr">
        <is>
          <t>Scope growth</t>
        </is>
      </c>
      <c r="C3" s="2" t="inlineStr">
        <is>
          <t>Scope</t>
        </is>
      </c>
      <c r="D3" s="2" t="n">
        <v>42</v>
      </c>
      <c r="E3" s="2" t="inlineStr">
        <is>
          <t>A1400</t>
        </is>
      </c>
      <c r="F3" s="2" t="inlineStr">
        <is>
          <t>01.04</t>
        </is>
      </c>
      <c r="G3" s="2" t="n">
        <v>15</v>
      </c>
      <c r="H3" s="2" t="n">
        <v>45</v>
      </c>
      <c r="I3" s="2" t="n">
        <v>120</v>
      </c>
      <c r="J3" s="2" t="n">
        <v>0.09</v>
      </c>
      <c r="K3" s="2" t="n">
        <v>0.24</v>
      </c>
      <c r="L3" s="2" t="n">
        <v>0.48</v>
      </c>
      <c r="M3" s="2" t="inlineStr">
        <is>
          <t>Project Director</t>
        </is>
      </c>
      <c r="N3" s="2" t="inlineStr">
        <is>
          <t>Scope change rate exceeds threshold</t>
        </is>
      </c>
      <c r="O3" s="2" t="inlineStr">
        <is>
          <t>Freeze scope, change board, value gates</t>
        </is>
      </c>
      <c r="P3" s="2" t="inlineStr">
        <is>
          <t>Cost impact derived from 01.04 MEP / Systems / Utilities exposure, project P50 $3.0B, and risk severity (3%/8%/16%).</t>
        </is>
      </c>
      <c r="Q3" s="2" t="inlineStr">
        <is>
          <t>Schedule impact mapped to A1400 Planning, regulatory and stakeholder approvals with O/M/P delay 15/45/120 days and critical path sensitivity.</t>
        </is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Technical</t>
        </is>
      </c>
      <c r="D4" s="2" t="n">
        <v>38</v>
      </c>
      <c r="E4" s="2" t="inlineStr">
        <is>
          <t>A1700</t>
        </is>
      </c>
      <c r="F4" s="2" t="inlineStr">
        <is>
          <t>01.07</t>
        </is>
      </c>
      <c r="G4" s="2" t="n">
        <v>15</v>
      </c>
      <c r="H4" s="2" t="n">
        <v>45</v>
      </c>
      <c r="I4" s="2" t="n">
        <v>120</v>
      </c>
      <c r="J4" s="2" t="n">
        <v>0.09</v>
      </c>
      <c r="K4" s="2" t="n">
        <v>0.27</v>
      </c>
      <c r="L4" s="2" t="n">
        <v>0.54</v>
      </c>
      <c r="M4" s="2" t="inlineStr">
        <is>
          <t>Design Manager</t>
        </is>
      </c>
      <c r="N4" s="2" t="inlineStr">
        <is>
          <t>Deliverables late</t>
        </is>
      </c>
      <c r="O4" s="2" t="inlineStr">
        <is>
          <t>Design maturity gates and independent review</t>
        </is>
      </c>
      <c r="P4" s="2" t="inlineStr">
        <is>
          <t>Cost impact derived from 01.07 Process Utilities exposure, project P50 $3.0B, and risk severity (3%/9%/18%).</t>
        </is>
      </c>
      <c r="Q4" s="2" t="inlineStr">
        <is>
          <t>Schedule impact mapped to A1700 Long-lead procurement with O/M/P delay 15/45/120 days and critical path sensitivity.</t>
        </is>
      </c>
    </row>
    <row r="5">
      <c r="A5" s="2" t="inlineStr">
        <is>
          <t>R-006</t>
        </is>
      </c>
      <c r="B5" s="2" t="inlineStr">
        <is>
          <t>Productivity underperformance</t>
        </is>
      </c>
      <c r="C5" s="2" t="inlineStr">
        <is>
          <t>Delivery</t>
        </is>
      </c>
      <c r="D5" s="2" t="n">
        <v>35</v>
      </c>
      <c r="E5" s="2" t="inlineStr">
        <is>
          <t>A1900</t>
        </is>
      </c>
      <c r="F5" s="2" t="inlineStr">
        <is>
          <t>01.09</t>
        </is>
      </c>
      <c r="G5" s="2" t="n">
        <v>15</v>
      </c>
      <c r="H5" s="2" t="n">
        <v>50</v>
      </c>
      <c r="I5" s="2" t="n">
        <v>130</v>
      </c>
      <c r="J5" s="2" t="n">
        <v>0.09</v>
      </c>
      <c r="K5" s="2" t="n">
        <v>0.24</v>
      </c>
      <c r="L5" s="2" t="n">
        <v>0.48</v>
      </c>
      <c r="M5" s="2" t="inlineStr">
        <is>
          <t>Delivery Lead</t>
        </is>
      </c>
      <c r="N5" s="2" t="inlineStr">
        <is>
          <t>SPI/CPI deteriorates</t>
        </is>
      </c>
      <c r="O5" s="2" t="inlineStr">
        <is>
          <t>Package productivity controls and daily planning</t>
        </is>
      </c>
      <c r="P5" s="2" t="inlineStr">
        <is>
          <t>Cost impact derived from 01.09 Direct Labour exposure, project P50 $3.0B, and risk severity (3%/8%/16%).</t>
        </is>
      </c>
      <c r="Q5" s="2" t="inlineStr">
        <is>
          <t>Schedule impact mapped to A1900 Main construction / fabrication / assembly with O/M/P delay 15/50/130 days and critical path sensitivity.</t>
        </is>
      </c>
    </row>
    <row r="6">
      <c r="A6" s="2" t="inlineStr">
        <is>
          <t>R-005</t>
        </is>
      </c>
      <c r="B6" s="2" t="inlineStr">
        <is>
          <t>Supply chain delay</t>
        </is>
      </c>
      <c r="C6" s="2" t="inlineStr">
        <is>
          <t>Procurement</t>
        </is>
      </c>
      <c r="D6" s="2" t="n">
        <v>40</v>
      </c>
      <c r="E6" s="2" t="inlineStr">
        <is>
          <t>A1800</t>
        </is>
      </c>
      <c r="F6" s="2" t="inlineStr">
        <is>
          <t>01.08</t>
        </is>
      </c>
      <c r="G6" s="2" t="n">
        <v>10</v>
      </c>
      <c r="H6" s="2" t="n">
        <v>40</v>
      </c>
      <c r="I6" s="2" t="n">
        <v>120</v>
      </c>
      <c r="J6" s="2" t="n">
        <v>0.06</v>
      </c>
      <c r="K6" s="2" t="n">
        <v>0.21</v>
      </c>
      <c r="L6" s="2" t="n">
        <v>0.45</v>
      </c>
      <c r="M6" s="2" t="inlineStr">
        <is>
          <t>Procurement Lead</t>
        </is>
      </c>
      <c r="N6" s="2" t="inlineStr">
        <is>
          <t>Supplier promise date slips</t>
        </is>
      </c>
      <c r="O6" s="2" t="inlineStr">
        <is>
          <t>Alternate suppliers, early orders, expediting</t>
        </is>
      </c>
      <c r="P6" s="2" t="inlineStr">
        <is>
          <t>Cost impact derived from 01.08 Validation / Qualification exposure, project P50 $3.0B, and risk severity (2%/7%/15%).</t>
        </is>
      </c>
      <c r="Q6" s="2" t="inlineStr">
        <is>
          <t>Schedule impact mapped to A1800 Site / launch integration readiness with O/M/P delay 10/40/120 days and critical path sensitivity.</t>
        </is>
      </c>
    </row>
    <row r="7">
      <c r="A7" s="2" t="inlineStr">
        <is>
          <t>R-008</t>
        </is>
      </c>
      <c r="B7" s="2" t="inlineStr">
        <is>
          <t>Interface misalignment</t>
        </is>
      </c>
      <c r="C7" s="2" t="inlineStr">
        <is>
          <t>Integration</t>
        </is>
      </c>
      <c r="D7" s="2" t="n">
        <v>34</v>
      </c>
      <c r="E7" s="2" t="inlineStr">
        <is>
          <t>A2100</t>
        </is>
      </c>
      <c r="F7" s="2" t="inlineStr">
        <is>
          <t>01.11</t>
        </is>
      </c>
      <c r="G7" s="2" t="n">
        <v>10</v>
      </c>
      <c r="H7" s="2" t="n">
        <v>35</v>
      </c>
      <c r="I7" s="2" t="n">
        <v>100</v>
      </c>
      <c r="J7" s="2" t="n">
        <v>0.06</v>
      </c>
      <c r="K7" s="2" t="n">
        <v>0.21</v>
      </c>
      <c r="L7" s="2" t="n">
        <v>0.42</v>
      </c>
      <c r="M7" s="2" t="inlineStr">
        <is>
          <t>Integration Manager</t>
        </is>
      </c>
      <c r="N7" s="2" t="inlineStr">
        <is>
          <t>Interface actions overdue</t>
        </is>
      </c>
      <c r="O7" s="2" t="inlineStr">
        <is>
          <t>ICDs and weekly interface board</t>
        </is>
      </c>
      <c r="P7" s="2" t="inlineStr">
        <is>
          <t>Cost impact derived from 01.11 Plant / Equipment exposure, project P50 $3.0B, and risk severity (2%/7%/14%).</t>
        </is>
      </c>
      <c r="Q7" s="2" t="inlineStr">
        <is>
          <t>Schedule impact mapped to A2100 Commissioning, operations readiness and closeout with O/M/P delay 10/35/100 days and critical path sensitivity.</t>
        </is>
      </c>
    </row>
    <row r="8">
      <c r="A8" s="2" t="inlineStr">
        <is>
          <t>R-007</t>
        </is>
      </c>
      <c r="B8" s="2" t="inlineStr">
        <is>
          <t>Commissioning delay</t>
        </is>
      </c>
      <c r="C8" s="2" t="inlineStr">
        <is>
          <t>Handover</t>
        </is>
      </c>
      <c r="D8" s="2" t="n">
        <v>32</v>
      </c>
      <c r="E8" s="2" t="inlineStr">
        <is>
          <t>A2000</t>
        </is>
      </c>
      <c r="F8" s="2" t="inlineStr">
        <is>
          <t>01.10</t>
        </is>
      </c>
      <c r="G8" s="2" t="n">
        <v>10</v>
      </c>
      <c r="H8" s="2" t="n">
        <v>35</v>
      </c>
      <c r="I8" s="2" t="n">
        <v>100</v>
      </c>
      <c r="J8" s="2" t="n">
        <v>0.06</v>
      </c>
      <c r="K8" s="2" t="n">
        <v>0.18</v>
      </c>
      <c r="L8" s="2" t="n">
        <v>0.36</v>
      </c>
      <c r="M8" s="2" t="inlineStr">
        <is>
          <t>Commissioning Lead</t>
        </is>
      </c>
      <c r="N8" s="2" t="inlineStr">
        <is>
          <t>Test failures trend upward</t>
        </is>
      </c>
      <c r="O8" s="2" t="inlineStr">
        <is>
          <t>Commissioning readiness and early test plans</t>
        </is>
      </c>
      <c r="P8" s="2" t="inlineStr">
        <is>
          <t>Cost impact derived from 01.10 Direct Materials exposure, project P50 $3.0B, and risk severity (2%/6%/12%).</t>
        </is>
      </c>
      <c r="Q8" s="2" t="inlineStr">
        <is>
          <t>Schedule impact mapped to A2000 Systems integration and testing with O/M/P delay 10/35/100 days and critical path sensitivity.</t>
        </is>
      </c>
    </row>
    <row r="9">
      <c r="A9" s="2" t="inlineStr">
        <is>
          <t>R-003</t>
        </is>
      </c>
      <c r="B9" s="2" t="inlineStr">
        <is>
          <t>Permits / approvals delay</t>
        </is>
      </c>
      <c r="C9" s="2" t="inlineStr">
        <is>
          <t>Regulatory</t>
        </is>
      </c>
      <c r="D9" s="2" t="n">
        <v>35</v>
      </c>
      <c r="E9" s="2" t="inlineStr">
        <is>
          <t>A1600</t>
        </is>
      </c>
      <c r="F9" s="2" t="inlineStr">
        <is>
          <t>01.06</t>
        </is>
      </c>
      <c r="G9" s="2" t="n">
        <v>20</v>
      </c>
      <c r="H9" s="2" t="n">
        <v>70</v>
      </c>
      <c r="I9" s="2" t="n">
        <v>180</v>
      </c>
      <c r="J9" s="2" t="n">
        <v>0.03</v>
      </c>
      <c r="K9" s="2" t="n">
        <v>0.12</v>
      </c>
      <c r="L9" s="2" t="n">
        <v>0.24</v>
      </c>
      <c r="M9" s="2" t="inlineStr">
        <is>
          <t>Consents Lead</t>
        </is>
      </c>
      <c r="N9" s="2" t="inlineStr">
        <is>
          <t>Consent milestone slips</t>
        </is>
      </c>
      <c r="O9" s="2" t="inlineStr">
        <is>
          <t>Authority plan, consent tracker, early submissions</t>
        </is>
      </c>
      <c r="P9" s="2" t="inlineStr">
        <is>
          <t>Cost impact derived from 01.06 Cleanroom Envelope exposure, project P50 $3.0B, and risk severity (1%/4%/8%).</t>
        </is>
      </c>
      <c r="Q9" s="2" t="inlineStr">
        <is>
          <t>Schedule impact mapped to A1600 Detailed design / IFC development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2.937</v>
      </c>
      <c r="C2" s="2" t="n">
        <v>71.34999999999999</v>
      </c>
    </row>
    <row r="3">
      <c r="A3" s="2" t="n">
        <v>5</v>
      </c>
      <c r="B3" s="2" t="n">
        <v>3.149</v>
      </c>
      <c r="C3" s="2" t="n">
        <v>73.56</v>
      </c>
    </row>
    <row r="4">
      <c r="A4" s="2" t="n">
        <v>10</v>
      </c>
      <c r="B4" s="2" t="n">
        <v>3.278</v>
      </c>
      <c r="C4" s="2" t="n">
        <v>75.04000000000001</v>
      </c>
    </row>
    <row r="5">
      <c r="A5" s="2" t="n">
        <v>20</v>
      </c>
      <c r="B5" s="2" t="n">
        <v>3.438</v>
      </c>
      <c r="C5" s="2" t="n">
        <v>76.79000000000001</v>
      </c>
    </row>
    <row r="6">
      <c r="A6" s="2" t="n">
        <v>30</v>
      </c>
      <c r="B6" s="2" t="n">
        <v>3.566</v>
      </c>
      <c r="C6" s="2" t="n">
        <v>78.18000000000001</v>
      </c>
    </row>
    <row r="7">
      <c r="A7" s="2" t="n">
        <v>40</v>
      </c>
      <c r="B7" s="2" t="n">
        <v>3.686</v>
      </c>
      <c r="C7" s="2" t="n">
        <v>79.41</v>
      </c>
    </row>
    <row r="8">
      <c r="A8" s="2" t="n">
        <v>50</v>
      </c>
      <c r="B8" s="2" t="n">
        <v>3.795</v>
      </c>
      <c r="C8" s="2" t="n">
        <v>80.62</v>
      </c>
    </row>
    <row r="9">
      <c r="A9" s="2" t="n">
        <v>60</v>
      </c>
      <c r="B9" s="2" t="n">
        <v>3.907</v>
      </c>
      <c r="C9" s="2" t="n">
        <v>81.84</v>
      </c>
    </row>
    <row r="10">
      <c r="A10" s="2" t="n">
        <v>70</v>
      </c>
      <c r="B10" s="2" t="n">
        <v>4.027</v>
      </c>
      <c r="C10" s="2" t="n">
        <v>83.15000000000001</v>
      </c>
    </row>
    <row r="11">
      <c r="A11" s="2" t="n">
        <v>80</v>
      </c>
      <c r="B11" s="2" t="n">
        <v>4.175</v>
      </c>
      <c r="C11" s="2" t="n">
        <v>84.84999999999999</v>
      </c>
    </row>
    <row r="12">
      <c r="A12" s="2" t="n">
        <v>90</v>
      </c>
      <c r="B12" s="2" t="n">
        <v>4.374</v>
      </c>
      <c r="C12" s="2" t="n">
        <v>87</v>
      </c>
    </row>
    <row r="13">
      <c r="A13" s="2" t="n">
        <v>95</v>
      </c>
      <c r="B13" s="2" t="n">
        <v>4.536</v>
      </c>
      <c r="C13" s="2" t="n">
        <v>88.73</v>
      </c>
    </row>
    <row r="14">
      <c r="A14" s="2" t="n">
        <v>99</v>
      </c>
      <c r="B14" s="2" t="n">
        <v>4.856</v>
      </c>
      <c r="C14" s="2" t="n">
        <v>92.06999999999999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R-002</t>
        </is>
      </c>
      <c r="B2" s="2" t="inlineStr">
        <is>
          <t>Market escalation</t>
        </is>
      </c>
      <c r="C2" s="2" t="inlineStr">
        <is>
          <t>A1500</t>
        </is>
      </c>
      <c r="D2" s="2" t="inlineStr">
        <is>
          <t>01.05</t>
        </is>
      </c>
      <c r="E2" s="2" t="n">
        <v>0.155</v>
      </c>
      <c r="F2" s="2" t="n">
        <v>0</v>
      </c>
      <c r="G2" s="2" t="n">
        <v>15.48</v>
      </c>
    </row>
    <row r="3">
      <c r="A3" s="2" t="inlineStr">
        <is>
          <t>R-001</t>
        </is>
      </c>
      <c r="B3" s="2" t="inlineStr">
        <is>
          <t>Scope growth</t>
        </is>
      </c>
      <c r="C3" s="2" t="inlineStr">
        <is>
          <t>A1400</t>
        </is>
      </c>
      <c r="D3" s="2" t="inlineStr">
        <is>
          <t>01.04</t>
        </is>
      </c>
      <c r="E3" s="2" t="n">
        <v>0.112</v>
      </c>
      <c r="F3" s="2" t="n">
        <v>25</v>
      </c>
      <c r="G3" s="2" t="n">
        <v>13.72</v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A1700</t>
        </is>
      </c>
      <c r="D4" s="2" t="inlineStr">
        <is>
          <t>01.07</t>
        </is>
      </c>
      <c r="E4" s="2" t="n">
        <v>0.112</v>
      </c>
      <c r="F4" s="2" t="n">
        <v>22.2</v>
      </c>
      <c r="G4" s="2" t="n">
        <v>13.46</v>
      </c>
    </row>
    <row r="5">
      <c r="A5" s="2" t="inlineStr">
        <is>
          <t>R-006</t>
        </is>
      </c>
      <c r="B5" s="2" t="inlineStr">
        <is>
          <t>Productivity underperformance</t>
        </is>
      </c>
      <c r="C5" s="2" t="inlineStr">
        <is>
          <t>A1900</t>
        </is>
      </c>
      <c r="D5" s="2" t="inlineStr">
        <is>
          <t>01.09</t>
        </is>
      </c>
      <c r="E5" s="2" t="n">
        <v>0.095</v>
      </c>
      <c r="F5" s="2" t="n">
        <v>23</v>
      </c>
      <c r="G5" s="2" t="n">
        <v>11.83</v>
      </c>
    </row>
    <row r="6">
      <c r="A6" s="2" t="inlineStr">
        <is>
          <t>R-005</t>
        </is>
      </c>
      <c r="B6" s="2" t="inlineStr">
        <is>
          <t>Supply chain delay</t>
        </is>
      </c>
      <c r="C6" s="2" t="inlineStr">
        <is>
          <t>A1800</t>
        </is>
      </c>
      <c r="D6" s="2" t="inlineStr">
        <is>
          <t>01.08</t>
        </is>
      </c>
      <c r="E6" s="2" t="n">
        <v>0.095</v>
      </c>
      <c r="F6" s="2" t="n">
        <v>22.6</v>
      </c>
      <c r="G6" s="2" t="n">
        <v>11.8</v>
      </c>
    </row>
    <row r="7">
      <c r="A7" s="2" t="inlineStr">
        <is>
          <t>R-008</t>
        </is>
      </c>
      <c r="B7" s="2" t="inlineStr">
        <is>
          <t>Interface misalignment</t>
        </is>
      </c>
      <c r="C7" s="2" t="inlineStr">
        <is>
          <t>A2100</t>
        </is>
      </c>
      <c r="D7" s="2" t="inlineStr">
        <is>
          <t>01.11</t>
        </is>
      </c>
      <c r="E7" s="2" t="n">
        <v>0.075</v>
      </c>
      <c r="F7" s="2" t="n">
        <v>15.8</v>
      </c>
      <c r="G7" s="2" t="n">
        <v>9.050000000000001</v>
      </c>
    </row>
    <row r="8">
      <c r="A8" s="2" t="inlineStr">
        <is>
          <t>R-007</t>
        </is>
      </c>
      <c r="B8" s="2" t="inlineStr">
        <is>
          <t>Commissioning delay</t>
        </is>
      </c>
      <c r="C8" s="2" t="inlineStr">
        <is>
          <t>A2000</t>
        </is>
      </c>
      <c r="D8" s="2" t="inlineStr">
        <is>
          <t>01.10</t>
        </is>
      </c>
      <c r="E8" s="2" t="n">
        <v>0.064</v>
      </c>
      <c r="F8" s="2" t="n">
        <v>15.2</v>
      </c>
      <c r="G8" s="2" t="n">
        <v>7.93</v>
      </c>
    </row>
    <row r="9">
      <c r="A9" s="2" t="inlineStr">
        <is>
          <t>R-003</t>
        </is>
      </c>
      <c r="B9" s="2" t="inlineStr">
        <is>
          <t>Permits / approvals delay</t>
        </is>
      </c>
      <c r="C9" s="2" t="inlineStr">
        <is>
          <t>A1600</t>
        </is>
      </c>
      <c r="D9" s="2" t="inlineStr">
        <is>
          <t>01.06</t>
        </is>
      </c>
      <c r="E9" s="2" t="n">
        <v>0.046</v>
      </c>
      <c r="F9" s="2" t="n">
        <v>31.3</v>
      </c>
      <c r="G9" s="2" t="n">
        <v>7.73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$3.0B</t>
        </is>
      </c>
      <c r="C2" s="2" t="n">
        <v>74</v>
      </c>
      <c r="D2" s="2" t="inlineStr">
        <is>
          <t>Medium</t>
        </is>
      </c>
      <c r="E2" s="2" t="n">
        <v>64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$3.3B</t>
        </is>
      </c>
      <c r="C3" s="2" t="n">
        <v>61</v>
      </c>
      <c r="D3" s="2" t="inlineStr">
        <is>
          <t>Medium</t>
        </is>
      </c>
      <c r="E3" s="2" t="n">
        <v>59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$2.6B</t>
        </is>
      </c>
      <c r="C4" s="2" t="n">
        <v>80</v>
      </c>
      <c r="D4" s="2" t="inlineStr">
        <is>
          <t>Medium</t>
        </is>
      </c>
      <c r="E4" s="2" t="n">
        <v>58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$3.3B</t>
        </is>
      </c>
      <c r="C5" s="2" t="n">
        <v>81</v>
      </c>
      <c r="D5" s="2" t="inlineStr">
        <is>
          <t>Low</t>
        </is>
      </c>
      <c r="E5" s="2" t="n">
        <v>77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$3.4B</t>
        </is>
      </c>
      <c r="C6" s="2" t="n">
        <v>77</v>
      </c>
      <c r="D6" s="2" t="inlineStr">
        <is>
          <t>Low</t>
        </is>
      </c>
      <c r="E6" s="2" t="n">
        <v>80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$2.9B</t>
        </is>
      </c>
      <c r="C7" s="2" t="n">
        <v>74</v>
      </c>
      <c r="D7" s="2" t="inlineStr">
        <is>
          <t>Low</t>
        </is>
      </c>
      <c r="E7" s="2" t="n">
        <v>71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$2.3B</t>
        </is>
      </c>
      <c r="C8" s="2" t="n">
        <v>89</v>
      </c>
      <c r="D8" s="2" t="inlineStr">
        <is>
          <t>Medium</t>
        </is>
      </c>
      <c r="E8" s="2" t="n">
        <v>54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Capital project benchmark</t>
        </is>
      </c>
      <c r="B2" s="2" t="inlineStr">
        <is>
          <t>Sector-adjusted range</t>
        </is>
      </c>
      <c r="C2" s="2" t="inlineStr">
        <is>
          <t>Selected based on project type, location, maturity and scale.</t>
        </is>
      </c>
    </row>
    <row r="3">
      <c r="A3" s="2" t="inlineStr">
        <is>
          <t>Schedule benchmark</t>
        </is>
      </c>
      <c r="B3" s="2" t="inlineStr">
        <is>
          <t>59-96 months</t>
        </is>
      </c>
      <c r="C3" s="2" t="inlineStr">
        <is>
          <t>Derived from maturity and delivery complexity.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2026-05-02T20:00:51Z</dcterms:created>
  <dcterms:modified xmlns:dcterms="http://purl.org/dc/terms/" xmlns:xsi="http://www.w3.org/2001/XMLSchema-instance" xsi:type="dcterms:W3CDTF">2026-05-02T20:00:52Z</dcterms:modified>
</cp:coreProperties>
</file>