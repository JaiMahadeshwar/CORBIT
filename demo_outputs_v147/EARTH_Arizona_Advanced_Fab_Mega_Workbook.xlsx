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01 Executive Dashboard" sheetId="1" state="visible" r:id="rId1"/>
    <sheet xmlns:r="http://schemas.openxmlformats.org/officeDocument/2006/relationships" name="02 Selected Cost Estimate" sheetId="2" state="visible" r:id="rId2"/>
    <sheet xmlns:r="http://schemas.openxmlformats.org/officeDocument/2006/relationships" name="03 All Class Estimates" sheetId="3" state="visible" r:id="rId3"/>
    <sheet xmlns:r="http://schemas.openxmlformats.org/officeDocument/2006/relationships" name="04 Scenario Comparison" sheetId="4" state="visible" r:id="rId4"/>
    <sheet xmlns:r="http://schemas.openxmlformats.org/officeDocument/2006/relationships" name="05 Risk Register" sheetId="5" state="visible" r:id="rId5"/>
    <sheet xmlns:r="http://schemas.openxmlformats.org/officeDocument/2006/relationships" name="06 QCRA Curve" sheetId="6" state="visible" r:id="rId6"/>
    <sheet xmlns:r="http://schemas.openxmlformats.org/officeDocument/2006/relationships" name="07 QSRA Curve" sheetId="7" state="visible" r:id="rId7"/>
    <sheet xmlns:r="http://schemas.openxmlformats.org/officeDocument/2006/relationships" name="08 QCRA Tornado" sheetId="8" state="visible" r:id="rId8"/>
    <sheet xmlns:r="http://schemas.openxmlformats.org/officeDocument/2006/relationships" name="09 QSRA Tornado" sheetId="9" state="visible" r:id="rId9"/>
    <sheet xmlns:r="http://schemas.openxmlformats.org/officeDocument/2006/relationships" name="10 All Schedule Levels" sheetId="10" state="visible" r:id="rId10"/>
    <sheet xmlns:r="http://schemas.openxmlformats.org/officeDocument/2006/relationships" name="11 Basis + Audit" sheetId="11" state="visible" r:id="rId11"/>
    <sheet xmlns:r="http://schemas.openxmlformats.org/officeDocument/2006/relationships" name="CASEY Board Challenge" sheetId="12" state="visible" r:id="rId12"/>
  </sheets>
  <definedNames/>
  <calcPr calcId="124519" fullCalcOnLoad="1"/>
</workbook>
</file>

<file path=xl/styles.xml><?xml version="1.0" encoding="utf-8"?>
<styleSheet xmlns="http://schemas.openxmlformats.org/spreadsheetml/2006/main">
  <numFmts count="2">
    <numFmt numFmtId="164" formatCode="$#,##0.0B"/>
    <numFmt numFmtId="165" formatCode="0.0"/>
  </numFmts>
  <fonts count="7">
    <font>
      <name val="Calibri"/>
      <family val="2"/>
      <color theme="1"/>
      <sz val="11"/>
      <scheme val="minor"/>
    </font>
    <font>
      <name val="Calibri"/>
      <family val="2"/>
      <b val="1"/>
      <color rgb="FF0B1F33"/>
      <sz val="20"/>
      <scheme val="minor"/>
    </font>
    <font>
      <name val="Calibri"/>
      <family val="2"/>
      <color rgb="FF666666"/>
      <sz val="10"/>
      <scheme val="minor"/>
    </font>
    <font>
      <name val="Calibri"/>
      <family val="2"/>
      <b val="1"/>
      <color rgb="FF0B1F33"/>
      <sz val="11"/>
      <scheme val="minor"/>
    </font>
    <font>
      <name val="Calibri"/>
      <family val="2"/>
      <b val="1"/>
      <color rgb="FF0B1F33"/>
      <sz val="16"/>
      <scheme val="minor"/>
    </font>
    <font>
      <name val="Calibri"/>
      <family val="2"/>
      <b val="1"/>
      <color rgb="FFFFFFFF"/>
      <sz val="13"/>
      <scheme val="minor"/>
    </font>
    <font>
      <name val="Calibri"/>
      <family val="2"/>
      <b val="1"/>
      <color rgb="FFFFFFFF"/>
      <sz val="11"/>
      <scheme val="minor"/>
    </font>
  </fonts>
  <fills count="6">
    <fill>
      <patternFill/>
    </fill>
    <fill>
      <patternFill patternType="gray125"/>
    </fill>
    <fill>
      <patternFill patternType="solid">
        <fgColor rgb="FFFFFFFF"/>
        <bgColor indexed="64"/>
      </patternFill>
    </fill>
    <fill>
      <patternFill patternType="solid">
        <fgColor rgb="FFF4F7FA"/>
        <bgColor indexed="64"/>
      </patternFill>
    </fill>
    <fill>
      <patternFill patternType="solid">
        <fgColor rgb="FF0B1F33"/>
        <bgColor indexed="64"/>
      </patternFill>
    </fill>
    <fill>
      <patternFill patternType="solid">
        <fgColor rgb="FF0070C0"/>
        <bgColor indexed="64"/>
      </patternFill>
    </fill>
  </fills>
  <borders count="11">
    <border>
      <left/>
      <right/>
      <top/>
      <bottom/>
      <diagonal/>
    </border>
    <border>
      <left style="thin">
        <color rgb="FFD9E2EA"/>
      </left>
      <right style="thin">
        <color rgb="FFD9E2EA"/>
      </right>
      <top style="thin">
        <color rgb="FFD9E2EA"/>
      </top>
      <bottom style="thin">
        <color rgb="FFD9E2EA"/>
      </bottom>
      <diagonal/>
    </border>
    <border>
      <left/>
      <right/>
      <top style="thin">
        <color rgb="FFD9E2EA"/>
      </top>
      <bottom/>
      <diagonal/>
    </border>
    <border>
      <left/>
      <right style="thin">
        <color rgb="FFD9E2EA"/>
      </right>
      <top style="thin">
        <color rgb="FFD9E2EA"/>
      </top>
      <bottom/>
      <diagonal/>
    </border>
    <border>
      <left/>
      <right style="thin">
        <color rgb="FFD9E2EA"/>
      </right>
      <top style="thin">
        <color rgb="FFD9E2EA"/>
      </top>
      <bottom style="thin">
        <color rgb="FFD9E2EA"/>
      </bottom>
      <diagonal/>
    </border>
    <border>
      <left/>
      <right/>
      <top style="thin">
        <color rgb="FFD9E2EA"/>
      </top>
      <bottom style="thin">
        <color rgb="FFD9E2EA"/>
      </bottom>
      <diagonal/>
    </border>
    <border>
      <left style="thin">
        <color rgb="FFD9E2EA"/>
      </left>
      <right/>
      <top/>
      <bottom/>
      <diagonal/>
    </border>
    <border>
      <left/>
      <right style="thin">
        <color rgb="FFD9E2EA"/>
      </right>
      <top/>
      <bottom/>
      <diagonal/>
    </border>
    <border>
      <left style="thin">
        <color rgb="FFD9E2EA"/>
      </left>
      <right/>
      <top/>
      <bottom style="thin">
        <color rgb="FFD9E2EA"/>
      </bottom>
      <diagonal/>
    </border>
    <border>
      <left/>
      <right/>
      <top/>
      <bottom style="thin">
        <color rgb="FFD9E2EA"/>
      </bottom>
      <diagonal/>
    </border>
    <border>
      <left/>
      <right style="thin">
        <color rgb="FFD9E2EA"/>
      </right>
      <top/>
      <bottom style="thin">
        <color rgb="FFD9E2EA"/>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4" fillId="2" borderId="1" pivotButton="0" quotePrefix="0" xfId="0"/>
    <xf numFmtId="0" fontId="5" fillId="4" borderId="1" pivotButton="0" quotePrefix="0" xfId="0"/>
    <xf numFmtId="0" fontId="0" fillId="0" borderId="1" applyAlignment="1" pivotButton="0" quotePrefix="0" xfId="0">
      <alignment vertical="top" wrapText="1"/>
    </xf>
    <xf numFmtId="0" fontId="6" fillId="5" borderId="1" applyAlignment="1" pivotButton="0" quotePrefix="0" xfId="0">
      <alignment vertical="center"/>
    </xf>
    <xf numFmtId="164" fontId="0" fillId="0" borderId="1" applyAlignment="1" pivotButton="0" quotePrefix="0" xfId="0">
      <alignment vertical="top"/>
    </xf>
    <xf numFmtId="165" fontId="0" fillId="0" borderId="1" applyAlignment="1" pivotButton="0" quotePrefix="0" xfId="0">
      <alignment vertical="top"/>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0" applyAlignment="1" pivotButton="0" quotePrefix="0" xfId="0">
      <alignment vertical="top" wrapText="1"/>
    </xf>
  </cellXfs>
  <cellStyles count="1">
    <cellStyle name="Normal" xfId="0" builtinId="0"/>
  </cellStyles>
  <dxfs count="3">
    <dxf>
      <fill>
        <patternFill>
          <bgColor rgb="FFFCE4D6"/>
        </patternFill>
      </fill>
      <border>
        <left style="thin">
          <color rgb="FFD9E2EA"/>
        </left>
        <right style="thin">
          <color rgb="FFD9E2EA"/>
        </right>
        <top style="thin">
          <color rgb="FFD9E2EA"/>
        </top>
        <bottom style="thin">
          <color rgb="FFD9E2EA"/>
        </bottom>
        <vertical/>
        <horizontal/>
      </border>
    </dxf>
    <dxf>
      <fill>
        <patternFill>
          <bgColor rgb="FFFFF2CC"/>
        </patternFill>
      </fill>
      <border>
        <left style="thin">
          <color rgb="FFD9E2EA"/>
        </left>
        <right style="thin">
          <color rgb="FFD9E2EA"/>
        </right>
        <top style="thin">
          <color rgb="FFD9E2EA"/>
        </top>
        <bottom style="thin">
          <color rgb="FFD9E2EA"/>
        </bottom>
        <vertical/>
        <horizontal/>
      </border>
    </dxf>
    <dxf>
      <fill>
        <patternFill>
          <bgColor rgb="FFE2F0D9"/>
        </patternFill>
      </fill>
      <border>
        <left style="thin">
          <color rgb="FFD9E2EA"/>
        </left>
        <right style="thin">
          <color rgb="FFD9E2EA"/>
        </right>
        <top style="thin">
          <color rgb="FFD9E2EA"/>
        </top>
        <bottom style="thin">
          <color rgb="FFD9E2EA"/>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Direct / Indirect / Reserve</a:t>
            </a:r>
          </a:p>
        </rich>
      </tx>
      <layout/>
    </title>
    <plotArea>
      <layout/>
      <doughnutChart>
        <varyColors val="1"/>
        <ser>
          <idx val="0"/>
          <order val="0"/>
          <tx>
            <v>Cost composition</v>
          </tx>
          <spPr>
            <a:ln xmlns:a="http://schemas.openxmlformats.org/drawingml/2006/main">
              <a:prstDash val="solid"/>
            </a:ln>
          </spPr>
          <dLbls>
            <showPercent val="1"/>
          </dLbls>
          <cat>
            <strRef>
              <f>'01 Executive Dashboard'!$A$19:$A$21</f>
              <strCache>
                <ptCount val="3"/>
                <pt idx="0">
                  <v>Direct</v>
                </pt>
                <pt idx="1">
                  <v>Indirect</v>
                </pt>
                <pt idx="2">
                  <v>Reserve</v>
                </pt>
              </strCache>
            </strRef>
          </cat>
          <val>
            <numRef>
              <f>'01 Executive Dashboard'!$B$19:$B$21</f>
              <numCache>
                <formatCode>General</formatCode>
                <ptCount val="3"/>
                <pt idx="0">
                  <v>16.992</v>
                </pt>
                <pt idx="1">
                  <v>2.761</v>
                </pt>
                <pt idx="2">
                  <v>1.487</v>
                </pt>
              </numCache>
            </numRef>
          </val>
        </ser>
        <firstSliceAng val="0"/>
        <holeSize val="50"/>
      </doughnutChart>
    </plotArea>
    <legend>
      <legendPos val="r"/>
      <layout/>
      <txPr>
        <a:bodyPr xmlns:a="http://schemas.openxmlformats.org/drawingml/2006/main"/>
        <a:lstStyle xmlns:a="http://schemas.openxmlformats.org/drawingml/2006/main"/>
        <a:p xmlns:a="http://schemas.openxmlformats.org/drawingml/2006/main">
          <a:pPr rtl="0">
            <a:defRPr/>
          </a:pPr>
          <a:r>
            <a:t/>
          </a:r>
          <a:endParaRPr lang="en-US"/>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P50 cost by package</a:t>
            </a:r>
          </a:p>
        </rich>
      </tx>
      <layout/>
    </title>
    <plotArea>
      <layout/>
      <barChart>
        <barDir val="col"/>
        <grouping val="clustered"/>
        <ser>
          <idx val="0"/>
          <order val="0"/>
          <tx>
            <v>P50 $B</v>
          </tx>
          <spPr>
            <a:ln xmlns:a="http://schemas.openxmlformats.org/drawingml/2006/main">
              <a:prstDash val="solid"/>
            </a:ln>
          </spPr>
          <cat>
            <strRef>
              <f>'02 Selected Cost Estimate'!$B$6:$B$13</f>
              <strCache>
                <ptCount val="8"/>
                <pt idx="0">
                  <v>Site and enabling infrastructure</v>
                </pt>
                <pt idx="1">
                  <v>Cleanroom shell and process environment</v>
                </pt>
                <pt idx="2">
                  <v>Process tools and tool install</v>
                </pt>
                <pt idx="3">
                  <v>UPW, chemicals and specialty gases</v>
                </pt>
                <pt idx="4">
                  <v>Power and resilient utilities</v>
                </pt>
                <pt idx="5">
                  <v>Qualification and ramp-up</v>
                </pt>
                <pt idx="6">
                  <v>PMO and controls</v>
                </pt>
                <pt idx="7">
                  <v>Risk reserve</v>
                </pt>
              </strCache>
            </strRef>
          </cat>
          <val>
            <numRef>
              <f>'02 Selected Cost Estimate'!$F$6:$F$13</f>
              <numCache>
                <formatCode>General</formatCode>
                <ptCount val="8"/>
                <pt idx="0">
                  <v>1.274</v>
                </pt>
                <pt idx="1">
                  <v>4.248</v>
                </pt>
                <pt idx="2">
                  <v>6.797</v>
                </pt>
                <pt idx="3">
                  <v>2.974</v>
                </pt>
                <pt idx="4">
                  <v>1.699</v>
                </pt>
                <pt idx="5">
                  <v>1.699</v>
                </pt>
                <pt idx="6">
                  <v>1.062</v>
                </pt>
                <pt idx="7">
                  <v>1.487</v>
                </pt>
              </numCache>
            </numRef>
          </val>
        </ser>
        <gapWidth val="150"/>
        <axId val="50020001"/>
        <axId val="50020002"/>
      </barChart>
      <catAx>
        <axId val="50020001"/>
        <scaling>
          <orientation val="minMax"/>
        </scaling>
        <axPos val="b"/>
        <majorTickMark val="none"/>
        <minorTickMark val="none"/>
        <tickLblPos val="nextTo"/>
        <crossAx val="50020002"/>
        <crosses val="autoZero"/>
        <auto val="1"/>
        <lblAlgn val="ctr"/>
        <lblOffset val="100"/>
      </catAx>
      <valAx>
        <axId val="50020002"/>
        <scaling>
          <orientation val="minMax"/>
        </scaling>
        <axPos val="l"/>
        <majorGridlines/>
        <title>
          <tx>
            <rich>
              <a:bodyPr xmlns:a="http://schemas.openxmlformats.org/drawingml/2006/main"/>
              <a:lstStyle xmlns:a="http://schemas.openxmlformats.org/drawingml/2006/main"/>
              <a:p xmlns:a="http://schemas.openxmlformats.org/drawingml/2006/main">
                <a:pPr>
                  <a:defRPr/>
                </a:pPr>
                <a:r>
                  <a:rPr lang="en-US"/>
                  <a:t>$B</a:t>
                </a:r>
              </a:p>
            </rich>
          </tx>
          <layout/>
        </title>
        <numFmt formatCode="General" sourceLinked="1"/>
        <majorTickMark val="none"/>
        <minorTickMark val="none"/>
        <tickLblPos val="nextTo"/>
        <crossAx val="50020001"/>
        <crosses val="autoZero"/>
        <crossBetween val="between"/>
      </valAx>
    </plotArea>
    <legend>
      <legendPos val="r"/>
      <layout/>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S-Curve</a:t>
            </a:r>
          </a:p>
        </rich>
      </tx>
      <layout/>
    </title>
    <plotArea>
      <layout/>
      <lineChart>
        <grouping val="standard"/>
        <ser>
          <idx val="0"/>
          <order val="0"/>
          <tx>
            <v>QCRA Cost $B</v>
          </tx>
          <spPr>
            <a:ln xmlns:a="http://schemas.openxmlformats.org/drawingml/2006/main">
              <a:prstDash val="solid"/>
            </a:ln>
          </spPr>
          <marker>
            <symbol val="none"/>
            <spPr>
              <a:ln xmlns:a="http://schemas.openxmlformats.org/drawingml/2006/main">
                <a:prstDash val="solid"/>
              </a:ln>
            </spPr>
          </marker>
          <cat>
            <numRef>
              <f>'06 QCRA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'06 QCRA Curve'!$B$6:$B$18</f>
              <numCache>
                <formatCode>General</formatCode>
                <ptCount val="13"/>
                <pt idx="0">
                  <v>16.54</v>
                </pt>
                <pt idx="1">
                  <v>17.17</v>
                </pt>
                <pt idx="2">
                  <v>17.81</v>
                </pt>
                <pt idx="3">
                  <v>18.87</v>
                </pt>
                <pt idx="4">
                  <v>19.72</v>
                </pt>
                <pt idx="5">
                  <v>20.56</v>
                </pt>
                <pt idx="6">
                  <v>21.2</v>
                </pt>
                <pt idx="7">
                  <v>22.47</v>
                </pt>
                <pt idx="8">
                  <v>24.38</v>
                </pt>
                <pt idx="9">
                  <v>27.56</v>
                </pt>
                <pt idx="10">
                  <v>31.16</v>
                </pt>
                <pt idx="11">
                  <v>33.5</v>
                </pt>
                <pt idx="12">
                  <v>36.46</v>
                </pt>
              </numCache>
            </numRef>
          </val>
        </ser>
        <marker val="1"/>
        <axId val="50030001"/>
        <axId val="50030002"/>
      </lineChart>
      <catAx>
        <axId val="50030001"/>
        <scaling>
          <orientation val="minMax"/>
        </scaling>
        <axPos val="b"/>
        <numFmt formatCode="General" sourceLinked="1"/>
        <majorTickMark val="none"/>
        <minorTickMark val="none"/>
        <tickLblPos val="nextTo"/>
        <crossAx val="50030002"/>
        <crosses val="autoZero"/>
        <auto val="1"/>
        <lblAlgn val="ctr"/>
        <lblOffset val="100"/>
      </catAx>
      <valAx>
        <axId val="5003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Cost $B</a:t>
                </a:r>
              </a:p>
            </rich>
          </tx>
          <layout/>
        </title>
        <numFmt formatCode="General" sourceLinked="1"/>
        <majorTickMark val="none"/>
        <minorTickMark val="none"/>
        <tickLblPos val="nextTo"/>
        <crossAx val="50030001"/>
        <crosses val="autoZero"/>
        <crossBetween val="between"/>
      </valAx>
    </plotArea>
    <legend>
      <legendPos val="r"/>
      <layout/>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S-Curve</a:t>
            </a:r>
          </a:p>
        </rich>
      </tx>
      <layout/>
    </title>
    <plotArea>
      <layout/>
      <lineChart>
        <grouping val="standard"/>
        <ser>
          <idx val="0"/>
          <order val="0"/>
          <tx>
            <v>QSRA Months</v>
          </tx>
          <spPr>
            <a:ln xmlns:a="http://schemas.openxmlformats.org/drawingml/2006/main">
              <a:prstDash val="solid"/>
            </a:ln>
          </spPr>
          <marker>
            <symbol val="none"/>
            <spPr>
              <a:ln xmlns:a="http://schemas.openxmlformats.org/drawingml/2006/main">
                <a:prstDash val="solid"/>
              </a:ln>
            </spPr>
          </marker>
          <cat>
            <numRef>
              <f>'07 QSRA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'07 QSRA Curve'!$B$6:$B$18</f>
              <numCache>
                <formatCode>General</formatCode>
                <ptCount val="13"/>
                <pt idx="0">
                  <v>75</v>
                </pt>
                <pt idx="1">
                  <v>77</v>
                </pt>
                <pt idx="2">
                  <v>79</v>
                </pt>
                <pt idx="3">
                  <v>83</v>
                </pt>
                <pt idx="4">
                  <v>86</v>
                </pt>
                <pt idx="5">
                  <v>89</v>
                </pt>
                <pt idx="6">
                  <v>92</v>
                </pt>
                <pt idx="7">
                  <v>98</v>
                </pt>
                <pt idx="8">
                  <v>106</v>
                </pt>
                <pt idx="9">
                  <v>120</v>
                </pt>
                <pt idx="10">
                  <v>135</v>
                </pt>
                <pt idx="11">
                  <v>145</v>
                </pt>
                <pt idx="12">
                  <v>158</v>
                </pt>
              </numCache>
            </numRef>
          </val>
        </ser>
        <marker val="1"/>
        <axId val="50040001"/>
        <axId val="50040002"/>
      </lineChart>
      <catAx>
        <axId val="50040001"/>
        <scaling>
          <orientation val="minMax"/>
        </scaling>
        <axPos val="b"/>
        <numFmt formatCode="General" sourceLinked="1"/>
        <majorTickMark val="none"/>
        <minorTickMark val="none"/>
        <tickLblPos val="nextTo"/>
        <crossAx val="50040002"/>
        <crosses val="autoZero"/>
        <auto val="1"/>
        <lblAlgn val="ctr"/>
        <lblOffset val="100"/>
      </catAx>
      <valAx>
        <axId val="5004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Months</a:t>
                </a:r>
              </a:p>
            </rich>
          </tx>
          <layout/>
        </title>
        <numFmt formatCode="General" sourceLinked="1"/>
        <majorTickMark val="none"/>
        <minorTickMark val="none"/>
        <tickLblPos val="nextTo"/>
        <crossAx val="50040001"/>
        <crosses val="autoZero"/>
        <crossBetween val="between"/>
      </valAx>
    </plotArea>
    <legend>
      <legendPos val="r"/>
      <layout/>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Cost Tornado</a:t>
            </a:r>
          </a:p>
        </rich>
      </tx>
      <layout/>
    </title>
    <plotArea>
      <layout/>
      <barChart>
        <barDir val="bar"/>
        <grouping val="clustered"/>
        <ser>
          <idx val="0"/>
          <order val="0"/>
          <tx>
            <v>Mean Cost $B</v>
          </tx>
          <spPr>
            <a:ln xmlns:a="http://schemas.openxmlformats.org/drawingml/2006/main">
              <a:prstDash val="solid"/>
            </a:ln>
          </spPr>
          <cat>
            <strRef>
              <f>'08 QCRA Tornado'!$B$6:$B$17</f>
              <strCache>
                <ptCount val="12"/>
                <pt idx="0">
                  <v>Market escalation</v>
                </pt>
                <pt idx="1">
                  <v>Design maturity gap</v>
                </pt>
                <pt idx="2">
                  <v>Scope growth</v>
                </pt>
                <pt idx="3">
                  <v>Productivity underperformance</v>
                </pt>
                <pt idx="4">
                  <v>Supply chain delay</v>
                </pt>
                <pt idx="5">
                  <v>Interface misalignment</v>
                </pt>
                <pt idx="6">
                  <v>Commissioning delay</v>
                </pt>
                <pt idx="7">
                  <v>Permits / approvals delay</v>
                </pt>
                <pt idx="8">
                  <v>Weather / environmental disruption</v>
                </pt>
                <pt idx="9">
                  <v>Interface ownership gap</v>
                </pt>
                <pt idx="10">
                  <v>Commercial claims escalation</v>
                </pt>
                <pt idx="11">
                  <v>Cyber / controls integration</v>
                </pt>
              </strCache>
            </strRef>
          </cat>
          <val>
            <numRef>
              <f>'08 QCRA Tornado'!$D$6:$D$17</f>
              <numCache>
                <formatCode>General</formatCode>
                <ptCount val="12"/>
                <pt idx="0">
                  <v>0.956</v>
                </pt>
                <pt idx="1">
                  <v>0.726</v>
                </pt>
                <pt idx="2">
                  <v>0.714</v>
                </pt>
                <pt idx="3">
                  <v>0.595</v>
                </pt>
                <pt idx="4">
                  <v>0.595</v>
                </pt>
                <pt idx="5">
                  <v>0.506</v>
                </pt>
                <pt idx="6">
                  <v>0.408</v>
                </pt>
                <pt idx="7">
                  <v>0.297</v>
                </pt>
                <pt idx="8">
                  <v>0.176</v>
                </pt>
                <pt idx="9">
                  <v>0.145</v>
                </pt>
                <pt idx="10">
                  <v>0.14</v>
                </pt>
                <pt idx="11">
                  <v>0.125</v>
                </pt>
              </numCache>
            </numRef>
          </val>
        </ser>
        <gapWidth val="150"/>
        <axId val="50050001"/>
        <axId val="50050002"/>
      </barChart>
      <catAx>
        <axId val="50050001"/>
        <scaling>
          <orientation val="minMax"/>
        </scaling>
        <axPos val="l"/>
        <majorTickMark val="none"/>
        <minorTickMark val="none"/>
        <tickLblPos val="nextTo"/>
        <crossAx val="50050002"/>
        <crosses val="autoZero"/>
        <auto val="1"/>
        <lblAlgn val="ctr"/>
        <lblOffset val="100"/>
      </catAx>
      <valAx>
        <axId val="50050002"/>
        <scaling>
          <orientation val="minMax"/>
        </scaling>
        <axPos val="b"/>
        <majorGridlines/>
        <numFmt formatCode="General" sourceLinked="1"/>
        <majorTickMark val="none"/>
        <minorTickMark val="none"/>
        <tickLblPos val="nextTo"/>
        <crossAx val="50050001"/>
        <crosses val="autoZero"/>
        <crossBetween val="between"/>
      </valAx>
    </plotArea>
    <legend>
      <legendPos val="r"/>
      <layout/>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Schedule Tornado</a:t>
            </a:r>
          </a:p>
        </rich>
      </tx>
      <layout/>
    </title>
    <plotArea>
      <layout/>
      <barChart>
        <barDir val="bar"/>
        <grouping val="clustered"/>
        <ser>
          <idx val="0"/>
          <order val="0"/>
          <tx>
            <v>Mean Days</v>
          </tx>
          <spPr>
            <a:ln xmlns:a="http://schemas.openxmlformats.org/drawingml/2006/main">
              <a:prstDash val="solid"/>
            </a:ln>
          </spPr>
          <cat>
            <strRef>
              <f>'09 QSRA Tornado'!$B$6:$B$17</f>
              <strCache>
                <ptCount val="12"/>
                <pt idx="0">
                  <v>Permits / approvals delay</v>
                </pt>
                <pt idx="1">
                  <v>Quality failure / rework</v>
                </pt>
                <pt idx="2">
                  <v>Data / estimate basis weakness</v>
                </pt>
                <pt idx="3">
                  <v>Resource availability</v>
                </pt>
                <pt idx="4">
                  <v>Scope growth</v>
                </pt>
                <pt idx="5">
                  <v>Weather / environmental disruption</v>
                </pt>
                <pt idx="6">
                  <v>Productivity underperformance</v>
                </pt>
                <pt idx="7">
                  <v>Design maturity gap</v>
                </pt>
                <pt idx="8">
                  <v>Commissioning readiness gap</v>
                </pt>
                <pt idx="9">
                  <v>Supply chain delay</v>
                </pt>
                <pt idx="10">
                  <v>Commercial claims escalation</v>
                </pt>
                <pt idx="11">
                  <v>Cyber / controls integration</v>
                </pt>
              </strCache>
            </strRef>
          </cat>
          <val>
            <numRef>
              <f>'09 QSRA Tornado'!$D$6:$D$17</f>
              <numCache>
                <formatCode>General</formatCode>
                <ptCount val="12"/>
                <pt idx="0">
                  <v>24.5</v>
                </pt>
                <pt idx="1">
                  <v>23.6</v>
                </pt>
                <pt idx="2">
                  <v>21.1</v>
                </pt>
                <pt idx="3">
                  <v>19.1</v>
                </pt>
                <pt idx="4">
                  <v>18.9</v>
                </pt>
                <pt idx="5">
                  <v>17.6</v>
                </pt>
                <pt idx="6">
                  <v>17.5</v>
                </pt>
                <pt idx="7">
                  <v>17.1</v>
                </pt>
                <pt idx="8">
                  <v>16.9</v>
                </pt>
                <pt idx="9">
                  <v>16</v>
                </pt>
                <pt idx="10">
                  <v>15.1</v>
                </pt>
                <pt idx="11">
                  <v>13.5</v>
                </pt>
              </numCache>
            </numRef>
          </val>
        </ser>
        <gapWidth val="150"/>
        <axId val="50060001"/>
        <axId val="50060002"/>
      </barChart>
      <catAx>
        <axId val="50060001"/>
        <scaling>
          <orientation val="minMax"/>
        </scaling>
        <axPos val="l"/>
        <majorTickMark val="none"/>
        <minorTickMark val="none"/>
        <tickLblPos val="nextTo"/>
        <crossAx val="50060002"/>
        <crosses val="autoZero"/>
        <auto val="1"/>
        <lblAlgn val="ctr"/>
        <lblOffset val="100"/>
      </catAx>
      <valAx>
        <axId val="50060002"/>
        <scaling>
          <orientation val="minMax"/>
        </scaling>
        <axPos val="b"/>
        <majorGridlines/>
        <numFmt formatCode="General" sourceLinked="1"/>
        <majorTickMark val="none"/>
        <minorTickMark val="none"/>
        <tickLblPos val="nextTo"/>
        <crossAx val="50060001"/>
        <crosses val="autoZero"/>
        <crossBetween val="between"/>
      </valAx>
    </plotArea>
    <legend>
      <legendPos val="r"/>
      <layou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from>
      <col>3</col>
      <colOff>0</colOff>
      <row>16</row>
      <rowOff>0</rowOff>
    </from>
    <to>
      <col>12</col>
      <colOff>0</colOff>
      <row>31</row>
      <rowOff>161925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9</col>
      <colOff>0</colOff>
      <row>3</row>
      <rowOff>0</rowOff>
    </from>
    <to>
      <col>18</col>
      <colOff>457200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6.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H21"/>
  <sheetViews>
    <sheetView showGridLines="0" tabSelected="1" zoomScale="90" zoomScaleNormal="90" workbookViewId="0">
      <pane ySplit="5" topLeftCell="A6" activePane="bottomLeft" state="frozen"/>
      <selection pane="bottomLeft" activeCell="A1" sqref="A1"/>
    </sheetView>
  </sheetViews>
  <sheetFormatPr baseColWidth="8" defaultRowHeight="15"/>
  <cols>
    <col width="18.7109375" customWidth="1" min="1" max="1"/>
    <col width="16.7109375" customWidth="1" min="2" max="2"/>
  </cols>
  <sheetData>
    <row r="1">
      <c r="A1" s="1" t="inlineStr">
        <is>
          <t>CASEY PLATINUM COST + RISK MODEL</t>
        </is>
      </c>
    </row>
    <row r="2">
      <c r="A2" s="2" t="inlineStr">
        <is>
          <t>Advanced Semiconductor Fab | Base scenario | Class 3 | Schedule Level 4</t>
        </is>
      </c>
    </row>
    <row r="5">
      <c r="A5" s="3" t="inlineStr">
        <is>
          <t>P50 Cost</t>
        </is>
      </c>
      <c r="B5" s="10" t="n"/>
      <c r="D5" s="3" t="inlineStr">
        <is>
          <t>Cost Range</t>
        </is>
      </c>
      <c r="E5" s="10" t="n"/>
      <c r="G5" s="3" t="inlineStr">
        <is>
          <t>QCRA P80</t>
        </is>
      </c>
      <c r="H5" s="10" t="n"/>
    </row>
    <row r="6">
      <c r="A6" s="4" t="inlineStr">
        <is>
          <t>$21.2B</t>
        </is>
      </c>
      <c r="B6" s="10" t="n"/>
      <c r="D6" s="4" t="inlineStr">
        <is>
          <t>$17.8B - $31.2B</t>
        </is>
      </c>
      <c r="E6" s="10" t="n"/>
      <c r="G6" s="4" t="inlineStr">
        <is>
          <t>$27.6B</t>
        </is>
      </c>
      <c r="H6" s="10" t="n"/>
    </row>
    <row r="8">
      <c r="A8" s="3" t="inlineStr">
        <is>
          <t>Schedule</t>
        </is>
      </c>
      <c r="B8" s="10" t="n"/>
      <c r="D8" s="3" t="inlineStr">
        <is>
          <t>QSRA P80</t>
        </is>
      </c>
      <c r="E8" s="10" t="n"/>
      <c r="G8" s="3" t="inlineStr">
        <is>
          <t>Risk / Confidence</t>
        </is>
      </c>
      <c r="H8" s="10" t="n"/>
    </row>
    <row r="9">
      <c r="A9" s="4" t="inlineStr">
        <is>
          <t>92 months</t>
        </is>
      </c>
      <c r="B9" s="10" t="n"/>
      <c r="D9" s="4" t="inlineStr">
        <is>
          <t>120 mo</t>
        </is>
      </c>
      <c r="E9" s="10" t="n"/>
      <c r="G9" s="4" t="inlineStr">
        <is>
          <t>Medium-High / 66%</t>
        </is>
      </c>
      <c r="H9" s="10" t="n"/>
    </row>
    <row r="12">
      <c r="A12" s="5" t="inlineStr">
        <is>
          <t>Executive recommendation</t>
        </is>
      </c>
    </row>
    <row r="13">
      <c r="A13" s="4" t="inlineStr">
        <is>
          <t>APPROVE DEFINITION PHASE — DO NOT COMMIT FULL CAPITAL YET</t>
        </is>
      </c>
      <c r="B13" s="11" t="n"/>
      <c r="C13" s="11" t="n"/>
      <c r="D13" s="11" t="n"/>
      <c r="E13" s="11" t="n"/>
      <c r="F13" s="11" t="n"/>
      <c r="G13" s="11" t="n"/>
      <c r="H13" s="10" t="n"/>
    </row>
    <row r="14">
      <c r="A14" s="6" t="inlineStr">
        <is>
          <t>Balanced reference case for first-pass board challenge, option testing and contractor / consultant assurance. Use as the control baseline. Validate evidence before approving full capital.</t>
        </is>
      </c>
      <c r="B14" s="12" t="n"/>
      <c r="C14" s="12" t="n"/>
      <c r="D14" s="12" t="n"/>
      <c r="E14" s="12" t="n"/>
      <c r="F14" s="12" t="n"/>
      <c r="G14" s="12" t="n"/>
      <c r="H14" s="13" t="n"/>
    </row>
    <row r="15">
      <c r="A15" s="14" t="n"/>
      <c r="B15" s="15" t="n"/>
      <c r="C15" s="15" t="n"/>
      <c r="D15" s="15" t="n"/>
      <c r="E15" s="15" t="n"/>
      <c r="F15" s="15" t="n"/>
      <c r="G15" s="15" t="n"/>
      <c r="H15" s="16" t="n"/>
    </row>
    <row r="18">
      <c r="A18" s="7" t="inlineStr">
        <is>
          <t>Cost Type</t>
        </is>
      </c>
      <c r="B18" s="7" t="inlineStr">
        <is>
          <t>P50 $B</t>
        </is>
      </c>
    </row>
    <row r="19">
      <c r="A19" s="6" t="inlineStr">
        <is>
          <t>Direct</t>
        </is>
      </c>
      <c r="B19" s="8" t="n">
        <v>16.992</v>
      </c>
    </row>
    <row r="20">
      <c r="A20" s="6" t="inlineStr">
        <is>
          <t>Indirect</t>
        </is>
      </c>
      <c r="B20" s="8" t="n">
        <v>2.761</v>
      </c>
    </row>
    <row r="21">
      <c r="A21" s="6" t="inlineStr">
        <is>
          <t>Reserve</t>
        </is>
      </c>
      <c r="B21" s="8" t="n">
        <v>1.487</v>
      </c>
    </row>
  </sheetData>
  <mergeCells count="16">
    <mergeCell ref="D8:E8"/>
    <mergeCell ref="D6:E6"/>
    <mergeCell ref="A1:H1"/>
    <mergeCell ref="A6:B6"/>
    <mergeCell ref="A2:H2"/>
    <mergeCell ref="A9:B9"/>
    <mergeCell ref="D5:E5"/>
    <mergeCell ref="A5:B5"/>
    <mergeCell ref="G5:H5"/>
    <mergeCell ref="A13:H13"/>
    <mergeCell ref="G6:H6"/>
    <mergeCell ref="A14:H15"/>
    <mergeCell ref="G8:H8"/>
    <mergeCell ref="G9:H9"/>
    <mergeCell ref="D9:E9"/>
    <mergeCell ref="A8:B8"/>
  </mergeCells>
  <pageMargins left="0.3" right="0.3" top="0.4" bottom="0.4" header="0.3" footer="0.3"/>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3"/>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8.7109375" customWidth="1" min="2" max="2"/>
    <col width="13.7109375" customWidth="1" min="3" max="3"/>
    <col width="34.7109375" customWidth="1" min="4" max="4"/>
    <col width="12.7109375" customWidth="1" min="5" max="7"/>
    <col width="46.7109375" customWidth="1" min="8" max="8"/>
  </cols>
  <sheetData>
    <row r="1">
      <c r="A1" s="1" t="inlineStr">
        <is>
          <t>SELECTED CLASS 3 COST ESTIMATE — BASE SCENARIO</t>
        </is>
      </c>
    </row>
    <row r="5">
      <c r="A5" s="7" t="inlineStr">
        <is>
          <t>CBS</t>
        </is>
      </c>
      <c r="B5" s="7" t="inlineStr">
        <is>
          <t>Description</t>
        </is>
      </c>
      <c r="C5" s="7" t="inlineStr">
        <is>
          <t>Type</t>
        </is>
      </c>
      <c r="D5" s="7" t="inlineStr">
        <is>
          <t>Basis</t>
        </is>
      </c>
      <c r="E5" s="7" t="inlineStr">
        <is>
          <t>P10 $B</t>
        </is>
      </c>
      <c r="F5" s="7" t="inlineStr">
        <is>
          <t>P50 $B</t>
        </is>
      </c>
      <c r="G5" s="7" t="inlineStr">
        <is>
          <t>P90 $B</t>
        </is>
      </c>
      <c r="H5" s="7" t="inlineStr">
        <is>
          <t>Challenge / Basis</t>
        </is>
      </c>
    </row>
    <row r="6">
      <c r="A6" s="6" t="inlineStr">
        <is>
          <t>01.01</t>
        </is>
      </c>
      <c r="B6" s="6" t="inlineStr">
        <is>
          <t>Site and enabling infrastructure</t>
        </is>
      </c>
      <c r="C6" s="6" t="inlineStr">
        <is>
          <t>Direct</t>
        </is>
      </c>
      <c r="D6" s="6" t="inlineStr">
        <is>
          <t>Site works, seismic base, bulk utilities and logistics</t>
        </is>
      </c>
      <c r="E6" s="8" t="n">
        <v>1.019</v>
      </c>
      <c r="F6" s="8" t="n">
        <v>1.274</v>
      </c>
      <c r="G6" s="8" t="n">
        <v>1.656</v>
      </c>
      <c r="H6" s="6" t="inlineStr">
        <is>
          <t>Site and enabling infrastructure priced as 6.0% of P50 from sector template, location factor 1.00, scale factor 1.00, complexity factor 1.25.</t>
        </is>
      </c>
    </row>
    <row r="7">
      <c r="A7" s="6" t="inlineStr">
        <is>
          <t>01.02</t>
        </is>
      </c>
      <c r="B7" s="6" t="inlineStr">
        <is>
          <t>Cleanroom shell and process environment</t>
        </is>
      </c>
      <c r="C7" s="6" t="inlineStr">
        <is>
          <t>Direct</t>
        </is>
      </c>
      <c r="D7" s="6" t="inlineStr">
        <is>
          <t>Vibration control, cleanroom, HVAC and contamination control</t>
        </is>
      </c>
      <c r="E7" s="8" t="n">
        <v>3.398</v>
      </c>
      <c r="F7" s="8" t="n">
        <v>4.248</v>
      </c>
      <c r="G7" s="8" t="n">
        <v>5.522</v>
      </c>
      <c r="H7" s="6" t="inlineStr">
        <is>
          <t>Cleanroom shell and process environment priced as 20.0% of P50 from sector template, location factor 1.00, scale factor 1.00, complexity factor 1.25.</t>
        </is>
      </c>
    </row>
    <row r="8">
      <c r="A8" s="6" t="inlineStr">
        <is>
          <t>01.03</t>
        </is>
      </c>
      <c r="B8" s="6" t="inlineStr">
        <is>
          <t>Process tools and tool install</t>
        </is>
      </c>
      <c r="C8" s="6" t="inlineStr">
        <is>
          <t>Direct</t>
        </is>
      </c>
      <c r="D8" s="6" t="inlineStr">
        <is>
          <t>Lithography, etch, deposition, metrology and tool hook-up</t>
        </is>
      </c>
      <c r="E8" s="8" t="n">
        <v>5.438</v>
      </c>
      <c r="F8" s="8" t="n">
        <v>6.797</v>
      </c>
      <c r="G8" s="8" t="n">
        <v>8.836</v>
      </c>
      <c r="H8" s="6" t="inlineStr">
        <is>
          <t>Process tools and tool install priced as 32.0% of P50 from sector template, location factor 1.00, scale factor 1.00, complexity factor 1.25.</t>
        </is>
      </c>
    </row>
    <row r="9">
      <c r="A9" s="6" t="inlineStr">
        <is>
          <t>01.04</t>
        </is>
      </c>
      <c r="B9" s="6" t="inlineStr">
        <is>
          <t>UPW, chemicals and specialty gases</t>
        </is>
      </c>
      <c r="C9" s="6" t="inlineStr">
        <is>
          <t>Direct</t>
        </is>
      </c>
      <c r="D9" s="6" t="inlineStr">
        <is>
          <t>Ultra-pure water, gases, abatement and chemical systems</t>
        </is>
      </c>
      <c r="E9" s="8" t="n">
        <v>2.379</v>
      </c>
      <c r="F9" s="8" t="n">
        <v>2.974</v>
      </c>
      <c r="G9" s="8" t="n">
        <v>3.866</v>
      </c>
      <c r="H9" s="6" t="inlineStr">
        <is>
          <t>UPW, chemicals and specialty gases priced as 14.0% of P50 from sector template, location factor 1.00, scale factor 1.00, complexity factor 1.25.</t>
        </is>
      </c>
    </row>
    <row r="10">
      <c r="A10" s="6" t="inlineStr">
        <is>
          <t>01.05</t>
        </is>
      </c>
      <c r="B10" s="6" t="inlineStr">
        <is>
          <t>Power and resilient utilities</t>
        </is>
      </c>
      <c r="C10" s="6" t="inlineStr">
        <is>
          <t>Direct</t>
        </is>
      </c>
      <c r="D10" s="6" t="inlineStr">
        <is>
          <t>Substations, emergency power and redundancy</t>
        </is>
      </c>
      <c r="E10" s="8" t="n">
        <v>1.359</v>
      </c>
      <c r="F10" s="8" t="n">
        <v>1.699</v>
      </c>
      <c r="G10" s="8" t="n">
        <v>2.209</v>
      </c>
      <c r="H10" s="6" t="inlineStr">
        <is>
          <t>Power and resilient utilities priced as 8.0% of P50 from sector template, location factor 1.00, scale factor 1.00, complexity factor 1.25.</t>
        </is>
      </c>
    </row>
    <row r="11">
      <c r="A11" s="6" t="inlineStr">
        <is>
          <t>02.01</t>
        </is>
      </c>
      <c r="B11" s="6" t="inlineStr">
        <is>
          <t>Qualification and ramp-up</t>
        </is>
      </c>
      <c r="C11" s="6" t="inlineStr">
        <is>
          <t>Indirect</t>
        </is>
      </c>
      <c r="D11" s="6" t="inlineStr">
        <is>
          <t>Tool qualification, operational ramp-up and validation</t>
        </is>
      </c>
      <c r="E11" s="8" t="n">
        <v>1.359</v>
      </c>
      <c r="F11" s="8" t="n">
        <v>1.699</v>
      </c>
      <c r="G11" s="8" t="n">
        <v>2.209</v>
      </c>
      <c r="H11" s="6" t="inlineStr">
        <is>
          <t>Qualification and ramp-up priced as 8.0% of P50 from sector template, location factor 1.00, scale factor 1.00, complexity factor 1.25.</t>
        </is>
      </c>
    </row>
    <row r="12">
      <c r="A12" s="6" t="inlineStr">
        <is>
          <t>02.02</t>
        </is>
      </c>
      <c r="B12" s="6" t="inlineStr">
        <is>
          <t>PMO and controls</t>
        </is>
      </c>
      <c r="C12" s="6" t="inlineStr">
        <is>
          <t>Indirect</t>
        </is>
      </c>
      <c r="D12" s="6" t="inlineStr">
        <is>
          <t>Programme controls, procurement and logistics</t>
        </is>
      </c>
      <c r="E12" s="8" t="n">
        <v>0.85</v>
      </c>
      <c r="F12" s="8" t="n">
        <v>1.062</v>
      </c>
      <c r="G12" s="8" t="n">
        <v>1.381</v>
      </c>
      <c r="H12" s="6" t="inlineStr">
        <is>
          <t>PMO and controls priced as 5.0% of P50 from sector template, location factor 1.00, scale factor 1.00, complexity factor 1.25.</t>
        </is>
      </c>
    </row>
    <row r="13">
      <c r="A13" s="6" t="inlineStr">
        <is>
          <t>03.01</t>
        </is>
      </c>
      <c r="B13" s="6" t="inlineStr">
        <is>
          <t>Risk reserve</t>
        </is>
      </c>
      <c r="C13" s="6" t="inlineStr">
        <is>
          <t>Reserve</t>
        </is>
      </c>
      <c r="D13" s="6" t="inlineStr">
        <is>
          <t>Tool cadence, supply chain and ramp-up uncertainty</t>
        </is>
      </c>
      <c r="E13" s="8" t="n">
        <v>1.19</v>
      </c>
      <c r="F13" s="8" t="n">
        <v>1.487</v>
      </c>
      <c r="G13" s="8" t="n">
        <v>1.933</v>
      </c>
      <c r="H13" s="6" t="inlineStr">
        <is>
          <t>Risk reserve priced as 7.0% of P50 from sector template, location factor 1.00, scale factor 1.00, complexity factor 1.25.</t>
        </is>
      </c>
    </row>
  </sheetData>
  <mergeCells count="1">
    <mergeCell ref="A1:H1"/>
  </mergeCells>
  <pageMargins left="0.3" right="0.3" top="0.4" bottom="0.4" header="0.3" footer="0.3"/>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45"/>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26.7109375" customWidth="1" min="2" max="3"/>
    <col width="9.7109375" customWidth="1" min="4" max="4"/>
    <col width="28.7109375" customWidth="1" min="5" max="5"/>
    <col width="12.7109375" customWidth="1" min="6" max="9"/>
  </cols>
  <sheetData>
    <row r="1">
      <c r="A1" s="1" t="inlineStr">
        <is>
          <t>ALL COST ESTIMATE CLASSES — NO CLASS DUMP WITHOUT CONTEXT</t>
        </is>
      </c>
    </row>
    <row r="5">
      <c r="A5" s="7" t="inlineStr">
        <is>
          <t>Class</t>
        </is>
      </c>
      <c r="B5" s="7" t="inlineStr">
        <is>
          <t>Class Name</t>
        </is>
      </c>
      <c r="C5" s="7" t="inlineStr">
        <is>
          <t>Maturity</t>
        </is>
      </c>
      <c r="D5" s="7" t="inlineStr">
        <is>
          <t>CBS</t>
        </is>
      </c>
      <c r="E5" s="7" t="inlineStr">
        <is>
          <t>Description</t>
        </is>
      </c>
      <c r="F5" s="7" t="inlineStr">
        <is>
          <t>Type</t>
        </is>
      </c>
      <c r="G5" s="7" t="inlineStr">
        <is>
          <t>P10 $B</t>
        </is>
      </c>
      <c r="H5" s="7" t="inlineStr">
        <is>
          <t>P50 $B</t>
        </is>
      </c>
      <c r="I5" s="7" t="inlineStr">
        <is>
          <t>P90 $B</t>
        </is>
      </c>
    </row>
    <row r="6">
      <c r="A6" s="6" t="n">
        <v>1</v>
      </c>
      <c r="B6" s="6" t="inlineStr">
        <is>
          <t>Class 1 Definitive/Bid</t>
        </is>
      </c>
      <c r="C6" s="6" t="inlineStr">
        <is>
          <t>65-100% definition maturity</t>
        </is>
      </c>
      <c r="D6" s="6" t="inlineStr">
        <is>
          <t>01.01</t>
        </is>
      </c>
      <c r="E6" s="6" t="inlineStr">
        <is>
          <t>Site and enabling infrastructure</t>
        </is>
      </c>
      <c r="F6" s="6" t="inlineStr">
        <is>
          <t>Direct</t>
        </is>
      </c>
      <c r="G6" s="8" t="n">
        <v>1.147</v>
      </c>
      <c r="H6" s="8" t="n">
        <v>1.274</v>
      </c>
      <c r="I6" s="8" t="n">
        <v>1.465</v>
      </c>
    </row>
    <row r="7">
      <c r="A7" s="6" t="n">
        <v>1</v>
      </c>
      <c r="B7" s="6" t="inlineStr">
        <is>
          <t>Class 1 Definitive/Bid</t>
        </is>
      </c>
      <c r="C7" s="6" t="inlineStr">
        <is>
          <t>65-100% definition maturity</t>
        </is>
      </c>
      <c r="D7" s="6" t="inlineStr">
        <is>
          <t>01.02</t>
        </is>
      </c>
      <c r="E7" s="6" t="inlineStr">
        <is>
          <t>Cleanroom shell and process environment</t>
        </is>
      </c>
      <c r="F7" s="6" t="inlineStr">
        <is>
          <t>Direct</t>
        </is>
      </c>
      <c r="G7" s="8" t="n">
        <v>3.823</v>
      </c>
      <c r="H7" s="8" t="n">
        <v>4.248</v>
      </c>
      <c r="I7" s="8" t="n">
        <v>4.885</v>
      </c>
    </row>
    <row r="8">
      <c r="A8" s="6" t="n">
        <v>1</v>
      </c>
      <c r="B8" s="6" t="inlineStr">
        <is>
          <t>Class 1 Definitive/Bid</t>
        </is>
      </c>
      <c r="C8" s="6" t="inlineStr">
        <is>
          <t>65-100% definition maturity</t>
        </is>
      </c>
      <c r="D8" s="6" t="inlineStr">
        <is>
          <t>01.03</t>
        </is>
      </c>
      <c r="E8" s="6" t="inlineStr">
        <is>
          <t>Process tools and tool install</t>
        </is>
      </c>
      <c r="F8" s="6" t="inlineStr">
        <is>
          <t>Direct</t>
        </is>
      </c>
      <c r="G8" s="8" t="n">
        <v>6.117</v>
      </c>
      <c r="H8" s="8" t="n">
        <v>6.797</v>
      </c>
      <c r="I8" s="8" t="n">
        <v>7.817</v>
      </c>
    </row>
    <row r="9">
      <c r="A9" s="6" t="n">
        <v>1</v>
      </c>
      <c r="B9" s="6" t="inlineStr">
        <is>
          <t>Class 1 Definitive/Bid</t>
        </is>
      </c>
      <c r="C9" s="6" t="inlineStr">
        <is>
          <t>65-100% definition maturity</t>
        </is>
      </c>
      <c r="D9" s="6" t="inlineStr">
        <is>
          <t>01.04</t>
        </is>
      </c>
      <c r="E9" s="6" t="inlineStr">
        <is>
          <t>UPW, chemicals and specialty gases</t>
        </is>
      </c>
      <c r="F9" s="6" t="inlineStr">
        <is>
          <t>Direct</t>
        </is>
      </c>
      <c r="G9" s="8" t="n">
        <v>2.677</v>
      </c>
      <c r="H9" s="8" t="n">
        <v>2.974</v>
      </c>
      <c r="I9" s="8" t="n">
        <v>3.42</v>
      </c>
    </row>
    <row r="10">
      <c r="A10" s="6" t="n">
        <v>1</v>
      </c>
      <c r="B10" s="6" t="inlineStr">
        <is>
          <t>Class 1 Definitive/Bid</t>
        </is>
      </c>
      <c r="C10" s="6" t="inlineStr">
        <is>
          <t>65-100% definition maturity</t>
        </is>
      </c>
      <c r="D10" s="6" t="inlineStr">
        <is>
          <t>01.05</t>
        </is>
      </c>
      <c r="E10" s="6" t="inlineStr">
        <is>
          <t>Power and resilient utilities</t>
        </is>
      </c>
      <c r="F10" s="6" t="inlineStr">
        <is>
          <t>Direct</t>
        </is>
      </c>
      <c r="G10" s="8" t="n">
        <v>1.529</v>
      </c>
      <c r="H10" s="8" t="n">
        <v>1.699</v>
      </c>
      <c r="I10" s="8" t="n">
        <v>1.954</v>
      </c>
    </row>
    <row r="11">
      <c r="A11" s="6" t="n">
        <v>1</v>
      </c>
      <c r="B11" s="6" t="inlineStr">
        <is>
          <t>Class 1 Definitive/Bid</t>
        </is>
      </c>
      <c r="C11" s="6" t="inlineStr">
        <is>
          <t>65-100% definition maturity</t>
        </is>
      </c>
      <c r="D11" s="6" t="inlineStr">
        <is>
          <t>02.01</t>
        </is>
      </c>
      <c r="E11" s="6" t="inlineStr">
        <is>
          <t>Qualification and ramp-up</t>
        </is>
      </c>
      <c r="F11" s="6" t="inlineStr">
        <is>
          <t>Indirect</t>
        </is>
      </c>
      <c r="G11" s="8" t="n">
        <v>1.529</v>
      </c>
      <c r="H11" s="8" t="n">
        <v>1.699</v>
      </c>
      <c r="I11" s="8" t="n">
        <v>1.954</v>
      </c>
    </row>
    <row r="12">
      <c r="A12" s="6" t="n">
        <v>1</v>
      </c>
      <c r="B12" s="6" t="inlineStr">
        <is>
          <t>Class 1 Definitive/Bid</t>
        </is>
      </c>
      <c r="C12" s="6" t="inlineStr">
        <is>
          <t>65-100% definition maturity</t>
        </is>
      </c>
      <c r="D12" s="6" t="inlineStr">
        <is>
          <t>02.02</t>
        </is>
      </c>
      <c r="E12" s="6" t="inlineStr">
        <is>
          <t>PMO and controls</t>
        </is>
      </c>
      <c r="F12" s="6" t="inlineStr">
        <is>
          <t>Indirect</t>
        </is>
      </c>
      <c r="G12" s="8" t="n">
        <v>0.956</v>
      </c>
      <c r="H12" s="8" t="n">
        <v>1.062</v>
      </c>
      <c r="I12" s="8" t="n">
        <v>1.221</v>
      </c>
    </row>
    <row r="13">
      <c r="A13" s="6" t="n">
        <v>1</v>
      </c>
      <c r="B13" s="6" t="inlineStr">
        <is>
          <t>Class 1 Definitive/Bid</t>
        </is>
      </c>
      <c r="C13" s="6" t="inlineStr">
        <is>
          <t>65-100% definition maturity</t>
        </is>
      </c>
      <c r="D13" s="6" t="inlineStr">
        <is>
          <t>03.01</t>
        </is>
      </c>
      <c r="E13" s="6" t="inlineStr">
        <is>
          <t>Risk reserve</t>
        </is>
      </c>
      <c r="F13" s="6" t="inlineStr">
        <is>
          <t>Reserve</t>
        </is>
      </c>
      <c r="G13" s="8" t="n">
        <v>1.338</v>
      </c>
      <c r="H13" s="8" t="n">
        <v>1.487</v>
      </c>
      <c r="I13" s="8" t="n">
        <v>1.71</v>
      </c>
    </row>
    <row r="14">
      <c r="A14" s="6" t="n">
        <v>2</v>
      </c>
      <c r="B14" s="6" t="inlineStr">
        <is>
          <t>Class 2 Control/Tender</t>
        </is>
      </c>
      <c r="C14" s="6" t="inlineStr">
        <is>
          <t>30-75% definition maturity</t>
        </is>
      </c>
      <c r="D14" s="6" t="inlineStr">
        <is>
          <t>01.01</t>
        </is>
      </c>
      <c r="E14" s="6" t="inlineStr">
        <is>
          <t>Site and enabling infrastructure</t>
        </is>
      </c>
      <c r="F14" s="6" t="inlineStr">
        <is>
          <t>Direct</t>
        </is>
      </c>
      <c r="G14" s="8" t="n">
        <v>1.083</v>
      </c>
      <c r="H14" s="8" t="n">
        <v>1.274</v>
      </c>
      <c r="I14" s="8" t="n">
        <v>1.529</v>
      </c>
    </row>
    <row r="15">
      <c r="A15" s="6" t="n">
        <v>2</v>
      </c>
      <c r="B15" s="6" t="inlineStr">
        <is>
          <t>Class 2 Control/Tender</t>
        </is>
      </c>
      <c r="C15" s="6" t="inlineStr">
        <is>
          <t>30-75% definition maturity</t>
        </is>
      </c>
      <c r="D15" s="6" t="inlineStr">
        <is>
          <t>01.02</t>
        </is>
      </c>
      <c r="E15" s="6" t="inlineStr">
        <is>
          <t>Cleanroom shell and process environment</t>
        </is>
      </c>
      <c r="F15" s="6" t="inlineStr">
        <is>
          <t>Direct</t>
        </is>
      </c>
      <c r="G15" s="8" t="n">
        <v>3.611</v>
      </c>
      <c r="H15" s="8" t="n">
        <v>4.248</v>
      </c>
      <c r="I15" s="8" t="n">
        <v>5.098</v>
      </c>
    </row>
    <row r="16">
      <c r="A16" s="6" t="n">
        <v>2</v>
      </c>
      <c r="B16" s="6" t="inlineStr">
        <is>
          <t>Class 2 Control/Tender</t>
        </is>
      </c>
      <c r="C16" s="6" t="inlineStr">
        <is>
          <t>30-75% definition maturity</t>
        </is>
      </c>
      <c r="D16" s="6" t="inlineStr">
        <is>
          <t>01.03</t>
        </is>
      </c>
      <c r="E16" s="6" t="inlineStr">
        <is>
          <t>Process tools and tool install</t>
        </is>
      </c>
      <c r="F16" s="6" t="inlineStr">
        <is>
          <t>Direct</t>
        </is>
      </c>
      <c r="G16" s="8" t="n">
        <v>5.777</v>
      </c>
      <c r="H16" s="8" t="n">
        <v>6.797</v>
      </c>
      <c r="I16" s="8" t="n">
        <v>8.156000000000001</v>
      </c>
    </row>
    <row r="17">
      <c r="A17" s="6" t="n">
        <v>2</v>
      </c>
      <c r="B17" s="6" t="inlineStr">
        <is>
          <t>Class 2 Control/Tender</t>
        </is>
      </c>
      <c r="C17" s="6" t="inlineStr">
        <is>
          <t>30-75% definition maturity</t>
        </is>
      </c>
      <c r="D17" s="6" t="inlineStr">
        <is>
          <t>01.04</t>
        </is>
      </c>
      <c r="E17" s="6" t="inlineStr">
        <is>
          <t>UPW, chemicals and specialty gases</t>
        </is>
      </c>
      <c r="F17" s="6" t="inlineStr">
        <is>
          <t>Direct</t>
        </is>
      </c>
      <c r="G17" s="8" t="n">
        <v>2.528</v>
      </c>
      <c r="H17" s="8" t="n">
        <v>2.974</v>
      </c>
      <c r="I17" s="8" t="n">
        <v>3.569</v>
      </c>
    </row>
    <row r="18">
      <c r="A18" s="6" t="n">
        <v>2</v>
      </c>
      <c r="B18" s="6" t="inlineStr">
        <is>
          <t>Class 2 Control/Tender</t>
        </is>
      </c>
      <c r="C18" s="6" t="inlineStr">
        <is>
          <t>30-75% definition maturity</t>
        </is>
      </c>
      <c r="D18" s="6" t="inlineStr">
        <is>
          <t>01.05</t>
        </is>
      </c>
      <c r="E18" s="6" t="inlineStr">
        <is>
          <t>Power and resilient utilities</t>
        </is>
      </c>
      <c r="F18" s="6" t="inlineStr">
        <is>
          <t>Direct</t>
        </is>
      </c>
      <c r="G18" s="8" t="n">
        <v>1.444</v>
      </c>
      <c r="H18" s="8" t="n">
        <v>1.699</v>
      </c>
      <c r="I18" s="8" t="n">
        <v>2.039</v>
      </c>
    </row>
    <row r="19">
      <c r="A19" s="6" t="n">
        <v>2</v>
      </c>
      <c r="B19" s="6" t="inlineStr">
        <is>
          <t>Class 2 Control/Tender</t>
        </is>
      </c>
      <c r="C19" s="6" t="inlineStr">
        <is>
          <t>30-75% definition maturity</t>
        </is>
      </c>
      <c r="D19" s="6" t="inlineStr">
        <is>
          <t>02.01</t>
        </is>
      </c>
      <c r="E19" s="6" t="inlineStr">
        <is>
          <t>Qualification and ramp-up</t>
        </is>
      </c>
      <c r="F19" s="6" t="inlineStr">
        <is>
          <t>Indirect</t>
        </is>
      </c>
      <c r="G19" s="8" t="n">
        <v>1.444</v>
      </c>
      <c r="H19" s="8" t="n">
        <v>1.699</v>
      </c>
      <c r="I19" s="8" t="n">
        <v>2.039</v>
      </c>
    </row>
    <row r="20">
      <c r="A20" s="6" t="n">
        <v>2</v>
      </c>
      <c r="B20" s="6" t="inlineStr">
        <is>
          <t>Class 2 Control/Tender</t>
        </is>
      </c>
      <c r="C20" s="6" t="inlineStr">
        <is>
          <t>30-75% definition maturity</t>
        </is>
      </c>
      <c r="D20" s="6" t="inlineStr">
        <is>
          <t>02.02</t>
        </is>
      </c>
      <c r="E20" s="6" t="inlineStr">
        <is>
          <t>PMO and controls</t>
        </is>
      </c>
      <c r="F20" s="6" t="inlineStr">
        <is>
          <t>Indirect</t>
        </is>
      </c>
      <c r="G20" s="8" t="n">
        <v>0.903</v>
      </c>
      <c r="H20" s="8" t="n">
        <v>1.062</v>
      </c>
      <c r="I20" s="8" t="n">
        <v>1.274</v>
      </c>
    </row>
    <row r="21">
      <c r="A21" s="6" t="n">
        <v>2</v>
      </c>
      <c r="B21" s="6" t="inlineStr">
        <is>
          <t>Class 2 Control/Tender</t>
        </is>
      </c>
      <c r="C21" s="6" t="inlineStr">
        <is>
          <t>30-75% definition maturity</t>
        </is>
      </c>
      <c r="D21" s="6" t="inlineStr">
        <is>
          <t>03.01</t>
        </is>
      </c>
      <c r="E21" s="6" t="inlineStr">
        <is>
          <t>Risk reserve</t>
        </is>
      </c>
      <c r="F21" s="6" t="inlineStr">
        <is>
          <t>Reserve</t>
        </is>
      </c>
      <c r="G21" s="8" t="n">
        <v>1.264</v>
      </c>
      <c r="H21" s="8" t="n">
        <v>1.487</v>
      </c>
      <c r="I21" s="8" t="n">
        <v>1.784</v>
      </c>
    </row>
    <row r="22">
      <c r="A22" s="6" t="n">
        <v>3</v>
      </c>
      <c r="B22" s="6" t="inlineStr">
        <is>
          <t>Class 3 Budget Authorization</t>
        </is>
      </c>
      <c r="C22" s="6" t="inlineStr">
        <is>
          <t>10-40% definition maturity</t>
        </is>
      </c>
      <c r="D22" s="6" t="inlineStr">
        <is>
          <t>01.01</t>
        </is>
      </c>
      <c r="E22" s="6" t="inlineStr">
        <is>
          <t>Site and enabling infrastructure</t>
        </is>
      </c>
      <c r="F22" s="6" t="inlineStr">
        <is>
          <t>Direct</t>
        </is>
      </c>
      <c r="G22" s="8" t="n">
        <v>1.019</v>
      </c>
      <c r="H22" s="8" t="n">
        <v>1.274</v>
      </c>
      <c r="I22" s="8" t="n">
        <v>1.656</v>
      </c>
    </row>
    <row r="23">
      <c r="A23" s="6" t="n">
        <v>3</v>
      </c>
      <c r="B23" s="6" t="inlineStr">
        <is>
          <t>Class 3 Budget Authorization</t>
        </is>
      </c>
      <c r="C23" s="6" t="inlineStr">
        <is>
          <t>10-40% definition maturity</t>
        </is>
      </c>
      <c r="D23" s="6" t="inlineStr">
        <is>
          <t>01.02</t>
        </is>
      </c>
      <c r="E23" s="6" t="inlineStr">
        <is>
          <t>Cleanroom shell and process environment</t>
        </is>
      </c>
      <c r="F23" s="6" t="inlineStr">
        <is>
          <t>Direct</t>
        </is>
      </c>
      <c r="G23" s="8" t="n">
        <v>3.398</v>
      </c>
      <c r="H23" s="8" t="n">
        <v>4.248</v>
      </c>
      <c r="I23" s="8" t="n">
        <v>5.522</v>
      </c>
    </row>
    <row r="24">
      <c r="A24" s="6" t="n">
        <v>3</v>
      </c>
      <c r="B24" s="6" t="inlineStr">
        <is>
          <t>Class 3 Budget Authorization</t>
        </is>
      </c>
      <c r="C24" s="6" t="inlineStr">
        <is>
          <t>10-40% definition maturity</t>
        </is>
      </c>
      <c r="D24" s="6" t="inlineStr">
        <is>
          <t>01.03</t>
        </is>
      </c>
      <c r="E24" s="6" t="inlineStr">
        <is>
          <t>Process tools and tool install</t>
        </is>
      </c>
      <c r="F24" s="6" t="inlineStr">
        <is>
          <t>Direct</t>
        </is>
      </c>
      <c r="G24" s="8" t="n">
        <v>5.438</v>
      </c>
      <c r="H24" s="8" t="n">
        <v>6.797</v>
      </c>
      <c r="I24" s="8" t="n">
        <v>8.836</v>
      </c>
    </row>
    <row r="25">
      <c r="A25" s="6" t="n">
        <v>3</v>
      </c>
      <c r="B25" s="6" t="inlineStr">
        <is>
          <t>Class 3 Budget Authorization</t>
        </is>
      </c>
      <c r="C25" s="6" t="inlineStr">
        <is>
          <t>10-40% definition maturity</t>
        </is>
      </c>
      <c r="D25" s="6" t="inlineStr">
        <is>
          <t>01.04</t>
        </is>
      </c>
      <c r="E25" s="6" t="inlineStr">
        <is>
          <t>UPW, chemicals and specialty gases</t>
        </is>
      </c>
      <c r="F25" s="6" t="inlineStr">
        <is>
          <t>Direct</t>
        </is>
      </c>
      <c r="G25" s="8" t="n">
        <v>2.379</v>
      </c>
      <c r="H25" s="8" t="n">
        <v>2.974</v>
      </c>
      <c r="I25" s="8" t="n">
        <v>3.866</v>
      </c>
    </row>
    <row r="26">
      <c r="A26" s="6" t="n">
        <v>3</v>
      </c>
      <c r="B26" s="6" t="inlineStr">
        <is>
          <t>Class 3 Budget Authorization</t>
        </is>
      </c>
      <c r="C26" s="6" t="inlineStr">
        <is>
          <t>10-40% definition maturity</t>
        </is>
      </c>
      <c r="D26" s="6" t="inlineStr">
        <is>
          <t>01.05</t>
        </is>
      </c>
      <c r="E26" s="6" t="inlineStr">
        <is>
          <t>Power and resilient utilities</t>
        </is>
      </c>
      <c r="F26" s="6" t="inlineStr">
        <is>
          <t>Direct</t>
        </is>
      </c>
      <c r="G26" s="8" t="n">
        <v>1.359</v>
      </c>
      <c r="H26" s="8" t="n">
        <v>1.699</v>
      </c>
      <c r="I26" s="8" t="n">
        <v>2.209</v>
      </c>
    </row>
    <row r="27">
      <c r="A27" s="6" t="n">
        <v>3</v>
      </c>
      <c r="B27" s="6" t="inlineStr">
        <is>
          <t>Class 3 Budget Authorization</t>
        </is>
      </c>
      <c r="C27" s="6" t="inlineStr">
        <is>
          <t>10-40% definition maturity</t>
        </is>
      </c>
      <c r="D27" s="6" t="inlineStr">
        <is>
          <t>02.01</t>
        </is>
      </c>
      <c r="E27" s="6" t="inlineStr">
        <is>
          <t>Qualification and ramp-up</t>
        </is>
      </c>
      <c r="F27" s="6" t="inlineStr">
        <is>
          <t>Indirect</t>
        </is>
      </c>
      <c r="G27" s="8" t="n">
        <v>1.359</v>
      </c>
      <c r="H27" s="8" t="n">
        <v>1.699</v>
      </c>
      <c r="I27" s="8" t="n">
        <v>2.209</v>
      </c>
    </row>
    <row r="28">
      <c r="A28" s="6" t="n">
        <v>3</v>
      </c>
      <c r="B28" s="6" t="inlineStr">
        <is>
          <t>Class 3 Budget Authorization</t>
        </is>
      </c>
      <c r="C28" s="6" t="inlineStr">
        <is>
          <t>10-40% definition maturity</t>
        </is>
      </c>
      <c r="D28" s="6" t="inlineStr">
        <is>
          <t>02.02</t>
        </is>
      </c>
      <c r="E28" s="6" t="inlineStr">
        <is>
          <t>PMO and controls</t>
        </is>
      </c>
      <c r="F28" s="6" t="inlineStr">
        <is>
          <t>Indirect</t>
        </is>
      </c>
      <c r="G28" s="8" t="n">
        <v>0.85</v>
      </c>
      <c r="H28" s="8" t="n">
        <v>1.062</v>
      </c>
      <c r="I28" s="8" t="n">
        <v>1.381</v>
      </c>
    </row>
    <row r="29">
      <c r="A29" s="6" t="n">
        <v>3</v>
      </c>
      <c r="B29" s="6" t="inlineStr">
        <is>
          <t>Class 3 Budget Authorization</t>
        </is>
      </c>
      <c r="C29" s="6" t="inlineStr">
        <is>
          <t>10-40% definition maturity</t>
        </is>
      </c>
      <c r="D29" s="6" t="inlineStr">
        <is>
          <t>03.01</t>
        </is>
      </c>
      <c r="E29" s="6" t="inlineStr">
        <is>
          <t>Risk reserve</t>
        </is>
      </c>
      <c r="F29" s="6" t="inlineStr">
        <is>
          <t>Reserve</t>
        </is>
      </c>
      <c r="G29" s="8" t="n">
        <v>1.19</v>
      </c>
      <c r="H29" s="8" t="n">
        <v>1.487</v>
      </c>
      <c r="I29" s="8" t="n">
        <v>1.933</v>
      </c>
    </row>
    <row r="30">
      <c r="A30" s="6" t="n">
        <v>4</v>
      </c>
      <c r="B30" s="6" t="inlineStr">
        <is>
          <t>Class 4 Feasibility</t>
        </is>
      </c>
      <c r="C30" s="6" t="inlineStr">
        <is>
          <t>1-15% definition maturity</t>
        </is>
      </c>
      <c r="D30" s="6" t="inlineStr">
        <is>
          <t>01.01</t>
        </is>
      </c>
      <c r="E30" s="6" t="inlineStr">
        <is>
          <t>Site and enabling infrastructure</t>
        </is>
      </c>
      <c r="F30" s="6" t="inlineStr">
        <is>
          <t>Direct</t>
        </is>
      </c>
      <c r="G30" s="8" t="n">
        <v>0.892</v>
      </c>
      <c r="H30" s="8" t="n">
        <v>1.274</v>
      </c>
      <c r="I30" s="8" t="n">
        <v>1.911</v>
      </c>
    </row>
    <row r="31">
      <c r="A31" s="6" t="n">
        <v>4</v>
      </c>
      <c r="B31" s="6" t="inlineStr">
        <is>
          <t>Class 4 Feasibility</t>
        </is>
      </c>
      <c r="C31" s="6" t="inlineStr">
        <is>
          <t>1-15% definition maturity</t>
        </is>
      </c>
      <c r="D31" s="6" t="inlineStr">
        <is>
          <t>01.02</t>
        </is>
      </c>
      <c r="E31" s="6" t="inlineStr">
        <is>
          <t>Cleanroom shell and process environment</t>
        </is>
      </c>
      <c r="F31" s="6" t="inlineStr">
        <is>
          <t>Direct</t>
        </is>
      </c>
      <c r="G31" s="8" t="n">
        <v>2.974</v>
      </c>
      <c r="H31" s="8" t="n">
        <v>4.248</v>
      </c>
      <c r="I31" s="8" t="n">
        <v>6.372</v>
      </c>
    </row>
    <row r="32">
      <c r="A32" s="6" t="n">
        <v>4</v>
      </c>
      <c r="B32" s="6" t="inlineStr">
        <is>
          <t>Class 4 Feasibility</t>
        </is>
      </c>
      <c r="C32" s="6" t="inlineStr">
        <is>
          <t>1-15% definition maturity</t>
        </is>
      </c>
      <c r="D32" s="6" t="inlineStr">
        <is>
          <t>01.03</t>
        </is>
      </c>
      <c r="E32" s="6" t="inlineStr">
        <is>
          <t>Process tools and tool install</t>
        </is>
      </c>
      <c r="F32" s="6" t="inlineStr">
        <is>
          <t>Direct</t>
        </is>
      </c>
      <c r="G32" s="8" t="n">
        <v>4.758</v>
      </c>
      <c r="H32" s="8" t="n">
        <v>6.797</v>
      </c>
      <c r="I32" s="8" t="n">
        <v>10.195</v>
      </c>
    </row>
    <row r="33">
      <c r="A33" s="6" t="n">
        <v>4</v>
      </c>
      <c r="B33" s="6" t="inlineStr">
        <is>
          <t>Class 4 Feasibility</t>
        </is>
      </c>
      <c r="C33" s="6" t="inlineStr">
        <is>
          <t>1-15% definition maturity</t>
        </is>
      </c>
      <c r="D33" s="6" t="inlineStr">
        <is>
          <t>01.04</t>
        </is>
      </c>
      <c r="E33" s="6" t="inlineStr">
        <is>
          <t>UPW, chemicals and specialty gases</t>
        </is>
      </c>
      <c r="F33" s="6" t="inlineStr">
        <is>
          <t>Direct</t>
        </is>
      </c>
      <c r="G33" s="8" t="n">
        <v>2.082</v>
      </c>
      <c r="H33" s="8" t="n">
        <v>2.974</v>
      </c>
      <c r="I33" s="8" t="n">
        <v>4.461</v>
      </c>
    </row>
    <row r="34">
      <c r="A34" s="6" t="n">
        <v>4</v>
      </c>
      <c r="B34" s="6" t="inlineStr">
        <is>
          <t>Class 4 Feasibility</t>
        </is>
      </c>
      <c r="C34" s="6" t="inlineStr">
        <is>
          <t>1-15% definition maturity</t>
        </is>
      </c>
      <c r="D34" s="6" t="inlineStr">
        <is>
          <t>01.05</t>
        </is>
      </c>
      <c r="E34" s="6" t="inlineStr">
        <is>
          <t>Power and resilient utilities</t>
        </is>
      </c>
      <c r="F34" s="6" t="inlineStr">
        <is>
          <t>Direct</t>
        </is>
      </c>
      <c r="G34" s="8" t="n">
        <v>1.189</v>
      </c>
      <c r="H34" s="8" t="n">
        <v>1.699</v>
      </c>
      <c r="I34" s="8" t="n">
        <v>2.549</v>
      </c>
    </row>
    <row r="35">
      <c r="A35" s="6" t="n">
        <v>4</v>
      </c>
      <c r="B35" s="6" t="inlineStr">
        <is>
          <t>Class 4 Feasibility</t>
        </is>
      </c>
      <c r="C35" s="6" t="inlineStr">
        <is>
          <t>1-15% definition maturity</t>
        </is>
      </c>
      <c r="D35" s="6" t="inlineStr">
        <is>
          <t>02.01</t>
        </is>
      </c>
      <c r="E35" s="6" t="inlineStr">
        <is>
          <t>Qualification and ramp-up</t>
        </is>
      </c>
      <c r="F35" s="6" t="inlineStr">
        <is>
          <t>Indirect</t>
        </is>
      </c>
      <c r="G35" s="8" t="n">
        <v>1.189</v>
      </c>
      <c r="H35" s="8" t="n">
        <v>1.699</v>
      </c>
      <c r="I35" s="8" t="n">
        <v>2.549</v>
      </c>
    </row>
    <row r="36">
      <c r="A36" s="6" t="n">
        <v>4</v>
      </c>
      <c r="B36" s="6" t="inlineStr">
        <is>
          <t>Class 4 Feasibility</t>
        </is>
      </c>
      <c r="C36" s="6" t="inlineStr">
        <is>
          <t>1-15% definition maturity</t>
        </is>
      </c>
      <c r="D36" s="6" t="inlineStr">
        <is>
          <t>02.02</t>
        </is>
      </c>
      <c r="E36" s="6" t="inlineStr">
        <is>
          <t>PMO and controls</t>
        </is>
      </c>
      <c r="F36" s="6" t="inlineStr">
        <is>
          <t>Indirect</t>
        </is>
      </c>
      <c r="G36" s="8" t="n">
        <v>0.743</v>
      </c>
      <c r="H36" s="8" t="n">
        <v>1.062</v>
      </c>
      <c r="I36" s="8" t="n">
        <v>1.593</v>
      </c>
    </row>
    <row r="37">
      <c r="A37" s="6" t="n">
        <v>4</v>
      </c>
      <c r="B37" s="6" t="inlineStr">
        <is>
          <t>Class 4 Feasibility</t>
        </is>
      </c>
      <c r="C37" s="6" t="inlineStr">
        <is>
          <t>1-15% definition maturity</t>
        </is>
      </c>
      <c r="D37" s="6" t="inlineStr">
        <is>
          <t>03.01</t>
        </is>
      </c>
      <c r="E37" s="6" t="inlineStr">
        <is>
          <t>Risk reserve</t>
        </is>
      </c>
      <c r="F37" s="6" t="inlineStr">
        <is>
          <t>Reserve</t>
        </is>
      </c>
      <c r="G37" s="8" t="n">
        <v>1.041</v>
      </c>
      <c r="H37" s="8" t="n">
        <v>1.487</v>
      </c>
      <c r="I37" s="8" t="n">
        <v>2.231</v>
      </c>
    </row>
    <row r="38">
      <c r="A38" s="6" t="n">
        <v>5</v>
      </c>
      <c r="B38" s="6" t="inlineStr">
        <is>
          <t>Class 5 Concept Screening</t>
        </is>
      </c>
      <c r="C38" s="6" t="inlineStr">
        <is>
          <t>0-2% definition maturity</t>
        </is>
      </c>
      <c r="D38" s="6" t="inlineStr">
        <is>
          <t>01.01</t>
        </is>
      </c>
      <c r="E38" s="6" t="inlineStr">
        <is>
          <t>Site and enabling infrastructure</t>
        </is>
      </c>
      <c r="F38" s="6" t="inlineStr">
        <is>
          <t>Direct</t>
        </is>
      </c>
      <c r="G38" s="8" t="n">
        <v>0.637</v>
      </c>
      <c r="H38" s="8" t="n">
        <v>1.274</v>
      </c>
      <c r="I38" s="8" t="n">
        <v>2.548</v>
      </c>
    </row>
    <row r="39">
      <c r="A39" s="6" t="n">
        <v>5</v>
      </c>
      <c r="B39" s="6" t="inlineStr">
        <is>
          <t>Class 5 Concept Screening</t>
        </is>
      </c>
      <c r="C39" s="6" t="inlineStr">
        <is>
          <t>0-2% definition maturity</t>
        </is>
      </c>
      <c r="D39" s="6" t="inlineStr">
        <is>
          <t>01.02</t>
        </is>
      </c>
      <c r="E39" s="6" t="inlineStr">
        <is>
          <t>Cleanroom shell and process environment</t>
        </is>
      </c>
      <c r="F39" s="6" t="inlineStr">
        <is>
          <t>Direct</t>
        </is>
      </c>
      <c r="G39" s="8" t="n">
        <v>2.124</v>
      </c>
      <c r="H39" s="8" t="n">
        <v>4.248</v>
      </c>
      <c r="I39" s="8" t="n">
        <v>8.496</v>
      </c>
    </row>
    <row r="40">
      <c r="A40" s="6" t="n">
        <v>5</v>
      </c>
      <c r="B40" s="6" t="inlineStr">
        <is>
          <t>Class 5 Concept Screening</t>
        </is>
      </c>
      <c r="C40" s="6" t="inlineStr">
        <is>
          <t>0-2% definition maturity</t>
        </is>
      </c>
      <c r="D40" s="6" t="inlineStr">
        <is>
          <t>01.03</t>
        </is>
      </c>
      <c r="E40" s="6" t="inlineStr">
        <is>
          <t>Process tools and tool install</t>
        </is>
      </c>
      <c r="F40" s="6" t="inlineStr">
        <is>
          <t>Direct</t>
        </is>
      </c>
      <c r="G40" s="8" t="n">
        <v>3.398</v>
      </c>
      <c r="H40" s="8" t="n">
        <v>6.797</v>
      </c>
      <c r="I40" s="8" t="n">
        <v>13.594</v>
      </c>
    </row>
    <row r="41">
      <c r="A41" s="6" t="n">
        <v>5</v>
      </c>
      <c r="B41" s="6" t="inlineStr">
        <is>
          <t>Class 5 Concept Screening</t>
        </is>
      </c>
      <c r="C41" s="6" t="inlineStr">
        <is>
          <t>0-2% definition maturity</t>
        </is>
      </c>
      <c r="D41" s="6" t="inlineStr">
        <is>
          <t>01.04</t>
        </is>
      </c>
      <c r="E41" s="6" t="inlineStr">
        <is>
          <t>UPW, chemicals and specialty gases</t>
        </is>
      </c>
      <c r="F41" s="6" t="inlineStr">
        <is>
          <t>Direct</t>
        </is>
      </c>
      <c r="G41" s="8" t="n">
        <v>1.487</v>
      </c>
      <c r="H41" s="8" t="n">
        <v>2.974</v>
      </c>
      <c r="I41" s="8" t="n">
        <v>5.948</v>
      </c>
    </row>
    <row r="42">
      <c r="A42" s="6" t="n">
        <v>5</v>
      </c>
      <c r="B42" s="6" t="inlineStr">
        <is>
          <t>Class 5 Concept Screening</t>
        </is>
      </c>
      <c r="C42" s="6" t="inlineStr">
        <is>
          <t>0-2% definition maturity</t>
        </is>
      </c>
      <c r="D42" s="6" t="inlineStr">
        <is>
          <t>01.05</t>
        </is>
      </c>
      <c r="E42" s="6" t="inlineStr">
        <is>
          <t>Power and resilient utilities</t>
        </is>
      </c>
      <c r="F42" s="6" t="inlineStr">
        <is>
          <t>Direct</t>
        </is>
      </c>
      <c r="G42" s="8" t="n">
        <v>0.85</v>
      </c>
      <c r="H42" s="8" t="n">
        <v>1.699</v>
      </c>
      <c r="I42" s="8" t="n">
        <v>3.398</v>
      </c>
    </row>
    <row r="43">
      <c r="A43" s="6" t="n">
        <v>5</v>
      </c>
      <c r="B43" s="6" t="inlineStr">
        <is>
          <t>Class 5 Concept Screening</t>
        </is>
      </c>
      <c r="C43" s="6" t="inlineStr">
        <is>
          <t>0-2% definition maturity</t>
        </is>
      </c>
      <c r="D43" s="6" t="inlineStr">
        <is>
          <t>02.01</t>
        </is>
      </c>
      <c r="E43" s="6" t="inlineStr">
        <is>
          <t>Qualification and ramp-up</t>
        </is>
      </c>
      <c r="F43" s="6" t="inlineStr">
        <is>
          <t>Indirect</t>
        </is>
      </c>
      <c r="G43" s="8" t="n">
        <v>0.85</v>
      </c>
      <c r="H43" s="8" t="n">
        <v>1.699</v>
      </c>
      <c r="I43" s="8" t="n">
        <v>3.398</v>
      </c>
    </row>
    <row r="44">
      <c r="A44" s="6" t="n">
        <v>5</v>
      </c>
      <c r="B44" s="6" t="inlineStr">
        <is>
          <t>Class 5 Concept Screening</t>
        </is>
      </c>
      <c r="C44" s="6" t="inlineStr">
        <is>
          <t>0-2% definition maturity</t>
        </is>
      </c>
      <c r="D44" s="6" t="inlineStr">
        <is>
          <t>02.02</t>
        </is>
      </c>
      <c r="E44" s="6" t="inlineStr">
        <is>
          <t>PMO and controls</t>
        </is>
      </c>
      <c r="F44" s="6" t="inlineStr">
        <is>
          <t>Indirect</t>
        </is>
      </c>
      <c r="G44" s="8" t="n">
        <v>0.531</v>
      </c>
      <c r="H44" s="8" t="n">
        <v>1.062</v>
      </c>
      <c r="I44" s="8" t="n">
        <v>2.124</v>
      </c>
    </row>
    <row r="45">
      <c r="A45" s="6" t="n">
        <v>5</v>
      </c>
      <c r="B45" s="6" t="inlineStr">
        <is>
          <t>Class 5 Concept Screening</t>
        </is>
      </c>
      <c r="C45" s="6" t="inlineStr">
        <is>
          <t>0-2% definition maturity</t>
        </is>
      </c>
      <c r="D45" s="6" t="inlineStr">
        <is>
          <t>03.01</t>
        </is>
      </c>
      <c r="E45" s="6" t="inlineStr">
        <is>
          <t>Risk reserve</t>
        </is>
      </c>
      <c r="F45" s="6" t="inlineStr">
        <is>
          <t>Reserve</t>
        </is>
      </c>
      <c r="G45" s="8" t="n">
        <v>0.744</v>
      </c>
      <c r="H45" s="8" t="n">
        <v>1.487</v>
      </c>
      <c r="I45" s="8" t="n">
        <v>2.974</v>
      </c>
    </row>
  </sheetData>
  <mergeCells count="1">
    <mergeCell ref="A1:I1"/>
  </mergeCells>
  <pageMargins left="0.3" right="0.3" top="0.4" bottom="0.4" header="0.3" footer="0.3"/>
  <pageSetup orientation="landscape"/>
</worksheet>
</file>

<file path=xl/worksheets/sheet4.xml><?xml version="1.0" encoding="utf-8"?>
<worksheet xmlns="http://schemas.openxmlformats.org/spreadsheetml/2006/main">
  <sheetPr>
    <outlinePr summaryBelow="1" summaryRight="1"/>
    <pageSetUpPr/>
  </sheetPr>
  <dimension ref="A1:G12"/>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 width="16.7109375" customWidth="1" min="3" max="3"/>
    <col width="14.7109375" customWidth="1" min="4" max="5"/>
    <col width="62.7109375" customWidth="1" min="6" max="6"/>
    <col width="40.7109375" customWidth="1" min="7" max="7"/>
  </cols>
  <sheetData>
    <row r="1">
      <c r="A1" s="1" t="inlineStr">
        <is>
          <t>SCENARIO COMPARISON — WHAT CHANGES AND WHY</t>
        </is>
      </c>
    </row>
    <row r="5">
      <c r="A5" s="7" t="inlineStr">
        <is>
          <t>Scenario</t>
        </is>
      </c>
      <c r="B5" s="7" t="inlineStr">
        <is>
          <t>P50 Cost</t>
        </is>
      </c>
      <c r="C5" s="7" t="inlineStr">
        <is>
          <t>Schedule Months</t>
        </is>
      </c>
      <c r="D5" s="7" t="inlineStr">
        <is>
          <t>Risk</t>
        </is>
      </c>
      <c r="E5" s="7" t="inlineStr">
        <is>
          <t>Confidence %</t>
        </is>
      </c>
      <c r="F5" s="7" t="inlineStr">
        <is>
          <t>Commercial Interpretation</t>
        </is>
      </c>
      <c r="G5" s="7" t="inlineStr">
        <is>
          <t>Board Use</t>
        </is>
      </c>
    </row>
    <row r="6">
      <c r="A6" s="6" t="inlineStr">
        <is>
          <t>Base</t>
        </is>
      </c>
      <c r="B6" s="6" t="inlineStr">
        <is>
          <t>$22.5B</t>
        </is>
      </c>
      <c r="C6" s="6" t="n">
        <v>98</v>
      </c>
      <c r="D6" s="6" t="inlineStr">
        <is>
          <t>Medium</t>
        </is>
      </c>
      <c r="E6" s="6" t="n">
        <v>64</v>
      </c>
      <c r="F6" s="6" t="inlineStr">
        <is>
          <t>Balanced reference case.</t>
        </is>
      </c>
      <c r="G6" s="6" t="inlineStr">
        <is>
          <t>Decision trade-off: cost / time / risk / confidence</t>
        </is>
      </c>
    </row>
    <row r="7">
      <c r="A7" s="6" t="inlineStr">
        <is>
          <t>Faster</t>
        </is>
      </c>
      <c r="B7" s="6" t="inlineStr">
        <is>
          <t>$25.0B</t>
        </is>
      </c>
      <c r="C7" s="6" t="n">
        <v>80</v>
      </c>
      <c r="D7" s="6" t="inlineStr">
        <is>
          <t>Medium</t>
        </is>
      </c>
      <c r="E7" s="6" t="n">
        <v>59</v>
      </c>
      <c r="F7" s="6" t="inlineStr">
        <is>
          <t>Parallel design/procurement, acceleration, premium logistics and higher interface risk.</t>
        </is>
      </c>
      <c r="G7" s="6" t="inlineStr">
        <is>
          <t>Decision trade-off: cost / time / risk / confidence</t>
        </is>
      </c>
    </row>
    <row r="8">
      <c r="A8" s="6" t="inlineStr">
        <is>
          <t>Cheaper</t>
        </is>
      </c>
      <c r="B8" s="6" t="inlineStr">
        <is>
          <t>$19.8B</t>
        </is>
      </c>
      <c r="C8" s="6" t="n">
        <v>106</v>
      </c>
      <c r="D8" s="6" t="inlineStr">
        <is>
          <t>Medium</t>
        </is>
      </c>
      <c r="E8" s="6" t="n">
        <v>58</v>
      </c>
      <c r="F8" s="6" t="inlineStr">
        <is>
          <t>Value engineering, tighter scope and procurement competition, with schedule/quality exposure.</t>
        </is>
      </c>
      <c r="G8" s="6" t="inlineStr">
        <is>
          <t>Decision trade-off: cost / time / risk / confidence</t>
        </is>
      </c>
    </row>
    <row r="9">
      <c r="A9" s="6" t="inlineStr">
        <is>
          <t>Lower Risk</t>
        </is>
      </c>
      <c r="B9" s="6" t="inlineStr">
        <is>
          <t>$24.5B</t>
        </is>
      </c>
      <c r="C9" s="6" t="n">
        <v>108</v>
      </c>
      <c r="D9" s="6" t="inlineStr">
        <is>
          <t>Low</t>
        </is>
      </c>
      <c r="E9" s="6" t="n">
        <v>77</v>
      </c>
      <c r="F9" s="6" t="inlineStr">
        <is>
          <t>More surveys, assurance, stage gates, contingency and schedule buffers.</t>
        </is>
      </c>
      <c r="G9" s="6" t="inlineStr">
        <is>
          <t>Decision trade-off: cost / time / risk / confidence</t>
        </is>
      </c>
    </row>
    <row r="10">
      <c r="A10" s="6" t="inlineStr">
        <is>
          <t>Premium</t>
        </is>
      </c>
      <c r="B10" s="6" t="inlineStr">
        <is>
          <t>$25.9B</t>
        </is>
      </c>
      <c r="C10" s="6" t="n">
        <v>102</v>
      </c>
      <c r="D10" s="6" t="inlineStr">
        <is>
          <t>Low</t>
        </is>
      </c>
      <c r="E10" s="6" t="n">
        <v>80</v>
      </c>
      <c r="F10" s="6" t="inlineStr">
        <is>
          <t>Best assurance, independent review, early procurement and high-confidence governance.</t>
        </is>
      </c>
      <c r="G10" s="6" t="inlineStr">
        <is>
          <t>Decision trade-off: cost / time / risk / confidence</t>
        </is>
      </c>
    </row>
    <row r="11">
      <c r="A11" s="6" t="inlineStr">
        <is>
          <t>Investor</t>
        </is>
      </c>
      <c r="B11" s="6" t="inlineStr">
        <is>
          <t>$22.1B</t>
        </is>
      </c>
      <c r="C11" s="6" t="n">
        <v>98</v>
      </c>
      <c r="D11" s="6" t="inlineStr">
        <is>
          <t>Low</t>
        </is>
      </c>
      <c r="E11" s="6" t="n">
        <v>71</v>
      </c>
      <c r="F11" s="6" t="inlineStr">
        <is>
          <t>Investment-framing case with transparent risk and commercial challenge.</t>
        </is>
      </c>
      <c r="G11" s="6" t="inlineStr">
        <is>
          <t>Decision trade-off: cost / time / risk / confidence</t>
        </is>
      </c>
    </row>
    <row r="12">
      <c r="A12" s="6" t="inlineStr">
        <is>
          <t>Survival</t>
        </is>
      </c>
      <c r="B12" s="6" t="inlineStr">
        <is>
          <t>$17.6B</t>
        </is>
      </c>
      <c r="C12" s="6" t="n">
        <v>118</v>
      </c>
      <c r="D12" s="6" t="inlineStr">
        <is>
          <t>Medium</t>
        </is>
      </c>
      <c r="E12" s="6" t="n">
        <v>54</v>
      </c>
      <c r="F12" s="6" t="inlineStr">
        <is>
          <t>Minimum viable scope, warning-heavy, high residual risk.</t>
        </is>
      </c>
      <c r="G12" s="6" t="inlineStr">
        <is>
          <t>Decision trade-off: cost / time / risk / confidence</t>
        </is>
      </c>
    </row>
  </sheetData>
  <mergeCells count="1">
    <mergeCell ref="A1:G1"/>
  </mergeCells>
  <pageMargins left="0.3" right="0.3" top="0.4" bottom="0.4" header="0.3" footer="0.3"/>
  <pageSetup orientation="landscape"/>
</worksheet>
</file>

<file path=xl/worksheets/sheet5.xml><?xml version="1.0" encoding="utf-8"?>
<worksheet xmlns="http://schemas.openxmlformats.org/spreadsheetml/2006/main">
  <sheetPr>
    <outlinePr summaryBelow="1" summaryRight="1"/>
    <pageSetUpPr/>
  </sheetPr>
  <dimension ref="A1:Q23"/>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5.7109375" customWidth="1" min="2" max="2"/>
    <col width="14.7109375" customWidth="1" min="3" max="3"/>
    <col width="13.7109375" customWidth="1" min="4" max="4"/>
    <col width="36.7109375" customWidth="1" min="5" max="6"/>
    <col width="44.7109375" customWidth="1" min="7" max="7"/>
    <col width="18.7109375" customWidth="1" min="8" max="8"/>
    <col width="42.7109375" customWidth="1" min="9" max="9"/>
    <col width="30.7109375" customWidth="1" min="10" max="10"/>
    <col width="12.7109375" customWidth="1" min="11" max="12"/>
    <col width="24.7109375" customWidth="1" min="13" max="13"/>
    <col width="10.7109375" customWidth="1" min="14" max="14"/>
    <col width="24.7109375" customWidth="1" min="15" max="15"/>
    <col width="14.7109375" customWidth="1" min="16" max="17"/>
  </cols>
  <sheetData>
    <row r="1">
      <c r="A1" s="1" t="inlineStr">
        <is>
          <t>RISK REGISTER — CAUSE / EVENT / IMPACT / RESPONSE</t>
        </is>
      </c>
    </row>
    <row r="5">
      <c r="A5" s="7" t="inlineStr">
        <is>
          <t>ID</t>
        </is>
      </c>
      <c r="B5" s="7" t="inlineStr">
        <is>
          <t>Risk</t>
        </is>
      </c>
      <c r="C5" s="7" t="inlineStr">
        <is>
          <t>Category</t>
        </is>
      </c>
      <c r="D5" s="7" t="inlineStr">
        <is>
          <t>Likelihood %</t>
        </is>
      </c>
      <c r="E5" s="7" t="inlineStr">
        <is>
          <t>Cause</t>
        </is>
      </c>
      <c r="F5" s="7" t="inlineStr">
        <is>
          <t>Risk Event</t>
        </is>
      </c>
      <c r="G5" s="7" t="inlineStr">
        <is>
          <t>Impact Description</t>
        </is>
      </c>
      <c r="H5" s="7" t="inlineStr">
        <is>
          <t>Owner</t>
        </is>
      </c>
      <c r="I5" s="7" t="inlineStr">
        <is>
          <t>Mitigation / Response</t>
        </is>
      </c>
      <c r="J5" s="7" t="inlineStr">
        <is>
          <t>Trigger</t>
        </is>
      </c>
      <c r="K5" s="7" t="inlineStr">
        <is>
          <t>Residual</t>
        </is>
      </c>
      <c r="L5" s="7" t="inlineStr">
        <is>
          <t>Activity</t>
        </is>
      </c>
      <c r="M5" s="7" t="inlineStr">
        <is>
          <t>Activity Name</t>
        </is>
      </c>
      <c r="N5" s="7" t="inlineStr">
        <is>
          <t>CBS</t>
        </is>
      </c>
      <c r="O5" s="7" t="inlineStr">
        <is>
          <t>CBS Name</t>
        </is>
      </c>
      <c r="P5" s="7" t="inlineStr">
        <is>
          <t>QCRA Mean $B</t>
        </is>
      </c>
      <c r="Q5" s="7" t="inlineStr">
        <is>
          <t>QSRA Mean Days</t>
        </is>
      </c>
    </row>
    <row r="6">
      <c r="A6" s="6" t="inlineStr">
        <is>
          <t>R-002</t>
        </is>
      </c>
      <c r="B6" s="6" t="inlineStr">
        <is>
          <t>Market escalation</t>
        </is>
      </c>
      <c r="C6" s="6" t="inlineStr">
        <is>
          <t>Commercial</t>
        </is>
      </c>
      <c r="D6" s="9" t="n">
        <v>45</v>
      </c>
      <c r="E6" s="6" t="inlineStr">
        <is>
          <t>Supplier market tightness, inflation, FX and long procurement window</t>
        </is>
      </c>
      <c r="F6" s="6" t="inlineStr">
        <is>
          <t>Market escalation occurs or materialises during delivery.</t>
        </is>
      </c>
      <c r="G6" s="6" t="inlineStr">
        <is>
          <t>P50 cost becomes understated; commercial approvals or procurement strategy may need reset</t>
        </is>
      </c>
      <c r="H6" s="6" t="inlineStr">
        <is>
          <t>Commercial Lead</t>
        </is>
      </c>
      <c r="I6" s="6" t="inlineStr">
        <is>
          <t>Early procurement, index-linked allowances, market testing, FX strategy</t>
        </is>
      </c>
      <c r="J6" s="6" t="inlineStr">
        <is>
          <t>Index exceeds allowance by 3%</t>
        </is>
      </c>
      <c r="K6" s="6" t="inlineStr">
        <is>
          <t>Medium</t>
        </is>
      </c>
      <c r="L6" s="6" t="inlineStr">
        <is>
          <t>A1500</t>
        </is>
      </c>
      <c r="M6" s="6" t="inlineStr">
        <is>
          <t>Procurement strategy and tender packaging</t>
        </is>
      </c>
      <c r="N6" s="6" t="inlineStr">
        <is>
          <t>01.05</t>
        </is>
      </c>
      <c r="O6" s="6" t="inlineStr">
        <is>
          <t>Power and resilient utilities</t>
        </is>
      </c>
      <c r="P6" s="8" t="n">
        <v>0.956</v>
      </c>
      <c r="Q6" s="9" t="n">
        <v>0.1</v>
      </c>
    </row>
    <row r="7">
      <c r="A7" s="6" t="inlineStr">
        <is>
          <t>R-004</t>
        </is>
      </c>
      <c r="B7" s="6" t="inlineStr">
        <is>
          <t>Design maturity gap</t>
        </is>
      </c>
      <c r="C7" s="6" t="inlineStr">
        <is>
          <t>Technical</t>
        </is>
      </c>
      <c r="D7" s="9" t="n">
        <v>38</v>
      </c>
      <c r="E7" s="6" t="inlineStr">
        <is>
          <t>Estimate is based on immature design, incomplete surveys or unresolved interfaces</t>
        </is>
      </c>
      <c r="F7" s="6" t="inlineStr">
        <is>
          <t>Design maturity gap occurs or materialises during delivery.</t>
        </is>
      </c>
      <c r="G7" s="6" t="inlineStr">
        <is>
          <t>Cost growth, quantity movement, rework and schedule resequencing</t>
        </is>
      </c>
      <c r="H7" s="6" t="inlineStr">
        <is>
          <t>Design Manager</t>
        </is>
      </c>
      <c r="I7" s="6" t="inlineStr">
        <is>
          <t>Design maturity gates, independent review, assumption register</t>
        </is>
      </c>
      <c r="J7" s="6" t="inlineStr">
        <is>
          <t>Design deliverables miss maturity gate</t>
        </is>
      </c>
      <c r="K7" s="6" t="inlineStr">
        <is>
          <t>Medium</t>
        </is>
      </c>
      <c r="L7" s="6" t="inlineStr">
        <is>
          <t>A1700</t>
        </is>
      </c>
      <c r="M7" s="6" t="inlineStr">
        <is>
          <t>Long-lead procurement</t>
        </is>
      </c>
      <c r="N7" s="6" t="inlineStr">
        <is>
          <t>02.02</t>
        </is>
      </c>
      <c r="O7" s="6" t="inlineStr">
        <is>
          <t>PMO and controls</t>
        </is>
      </c>
      <c r="P7" s="8" t="n">
        <v>0.726</v>
      </c>
      <c r="Q7" s="9" t="n">
        <v>17.1</v>
      </c>
    </row>
    <row r="8">
      <c r="A8" s="6" t="inlineStr">
        <is>
          <t>R-001</t>
        </is>
      </c>
      <c r="B8" s="6" t="inlineStr">
        <is>
          <t>Scope growth</t>
        </is>
      </c>
      <c r="C8" s="6" t="inlineStr">
        <is>
          <t>Scope</t>
        </is>
      </c>
      <c r="D8" s="9" t="n">
        <v>42</v>
      </c>
      <c r="E8" s="6" t="inlineStr">
        <is>
          <t>Ambiguous requirements, immature scope freeze and late stakeholder changes</t>
        </is>
      </c>
      <c r="F8" s="6" t="inlineStr">
        <is>
          <t>Scope growth occurs or materialises during delivery.</t>
        </is>
      </c>
      <c r="G8" s="6" t="inlineStr">
        <is>
          <t>Additional quantities, redesign, rework, procurement churn and board contingency drawdown</t>
        </is>
      </c>
      <c r="H8" s="6" t="inlineStr">
        <is>
          <t>Project Director</t>
        </is>
      </c>
      <c r="I8" s="6" t="inlineStr">
        <is>
          <t>Freeze scope baseline, change board, value gates, client decision log</t>
        </is>
      </c>
      <c r="J8" s="6" t="inlineStr">
        <is>
          <t>Scope change rate exceeds 2% of package value</t>
        </is>
      </c>
      <c r="K8" s="6" t="inlineStr">
        <is>
          <t>Medium</t>
        </is>
      </c>
      <c r="L8" s="6" t="inlineStr">
        <is>
          <t>A1400</t>
        </is>
      </c>
      <c r="M8" s="6" t="inlineStr">
        <is>
          <t>Planning, regulatory and stakeholder approvals</t>
        </is>
      </c>
      <c r="N8" s="6" t="inlineStr">
        <is>
          <t>01.04</t>
        </is>
      </c>
      <c r="O8" s="6" t="inlineStr">
        <is>
          <t>UPW, chemicals and specialty gases</t>
        </is>
      </c>
      <c r="P8" s="8" t="n">
        <v>0.714</v>
      </c>
      <c r="Q8" s="9" t="n">
        <v>18.9</v>
      </c>
    </row>
    <row r="9">
      <c r="A9" s="6" t="inlineStr">
        <is>
          <t>R-006</t>
        </is>
      </c>
      <c r="B9" s="6" t="inlineStr">
        <is>
          <t>Productivity underperformance</t>
        </is>
      </c>
      <c r="C9" s="6" t="inlineStr">
        <is>
          <t>Delivery</t>
        </is>
      </c>
      <c r="D9" s="9" t="n">
        <v>35</v>
      </c>
      <c r="E9" s="6" t="inlineStr">
        <is>
          <t>Access constraints, poor sequencing, labour scarcity or learning curve</t>
        </is>
      </c>
      <c r="F9" s="6" t="inlineStr">
        <is>
          <t>Productivity underperformance occurs or materialises during delivery.</t>
        </is>
      </c>
      <c r="G9" s="6" t="inlineStr">
        <is>
          <t>Extended duration, increased preliminaries and loss of float</t>
        </is>
      </c>
      <c r="H9" s="6" t="inlineStr">
        <is>
          <t>Delivery Lead</t>
        </is>
      </c>
      <c r="I9" s="6" t="inlineStr">
        <is>
          <t>Package productivity controls, daily planning, earned value cadence</t>
        </is>
      </c>
      <c r="J9" s="6" t="inlineStr">
        <is>
          <t>SPI/CPI deteriorates for two reporting periods</t>
        </is>
      </c>
      <c r="K9" s="6" t="inlineStr">
        <is>
          <t>Medium</t>
        </is>
      </c>
      <c r="L9" s="6" t="inlineStr">
        <is>
          <t>A1900</t>
        </is>
      </c>
      <c r="M9" s="6" t="inlineStr">
        <is>
          <t>Main construction / fabrication / assembly</t>
        </is>
      </c>
      <c r="N9" s="6" t="inlineStr">
        <is>
          <t>03.01</t>
        </is>
      </c>
      <c r="O9" s="6" t="inlineStr">
        <is>
          <t>Risk reserve</t>
        </is>
      </c>
      <c r="P9" s="8" t="n">
        <v>0.595</v>
      </c>
      <c r="Q9" s="9" t="n">
        <v>17.5</v>
      </c>
    </row>
    <row r="10">
      <c r="A10" s="6" t="inlineStr">
        <is>
          <t>R-005</t>
        </is>
      </c>
      <c r="B10" s="6" t="inlineStr">
        <is>
          <t>Supply chain delay</t>
        </is>
      </c>
      <c r="C10" s="6" t="inlineStr">
        <is>
          <t>Procurement</t>
        </is>
      </c>
      <c r="D10" s="9" t="n">
        <v>40</v>
      </c>
      <c r="E10" s="6" t="inlineStr">
        <is>
          <t>Long-lead equipment, constrained suppliers or late procurement release</t>
        </is>
      </c>
      <c r="F10" s="6" t="inlineStr">
        <is>
          <t>Supply chain delay occurs or materialises during delivery.</t>
        </is>
      </c>
      <c r="G10" s="6" t="inlineStr">
        <is>
          <t>Delayed installation, critical path movement and acceleration cost</t>
        </is>
      </c>
      <c r="H10" s="6" t="inlineStr">
        <is>
          <t>Procurement Lead</t>
        </is>
      </c>
      <c r="I10" s="6" t="inlineStr">
        <is>
          <t>Alternate suppliers, early orders, expediting, framework options</t>
        </is>
      </c>
      <c r="J10" s="6" t="inlineStr">
        <is>
          <t>Supplier promise date slips</t>
        </is>
      </c>
      <c r="K10" s="6" t="inlineStr">
        <is>
          <t>Medium</t>
        </is>
      </c>
      <c r="L10" s="6" t="inlineStr">
        <is>
          <t>A1800</t>
        </is>
      </c>
      <c r="M10" s="6" t="inlineStr">
        <is>
          <t>Site / launch integration readiness</t>
        </is>
      </c>
      <c r="N10" s="6" t="inlineStr">
        <is>
          <t>03.01</t>
        </is>
      </c>
      <c r="O10" s="6" t="inlineStr">
        <is>
          <t>Risk reserve</t>
        </is>
      </c>
      <c r="P10" s="8" t="n">
        <v>0.595</v>
      </c>
      <c r="Q10" s="9" t="n">
        <v>16</v>
      </c>
    </row>
    <row r="11">
      <c r="A11" s="6" t="inlineStr">
        <is>
          <t>R-008</t>
        </is>
      </c>
      <c r="B11" s="6" t="inlineStr">
        <is>
          <t>Interface misalignment</t>
        </is>
      </c>
      <c r="C11" s="6" t="inlineStr">
        <is>
          <t>Integration</t>
        </is>
      </c>
      <c r="D11" s="9" t="n">
        <v>34</v>
      </c>
      <c r="E11" s="6" t="inlineStr">
        <is>
          <t>Multiple contractors, unclear interface ownership or late design coordination</t>
        </is>
      </c>
      <c r="F11" s="6" t="inlineStr">
        <is>
          <t>Interface misalignment occurs or materialises during delivery.</t>
        </is>
      </c>
      <c r="G11" s="6" t="inlineStr">
        <is>
          <t>Rework, claims, delay and fragmented accountability</t>
        </is>
      </c>
      <c r="H11" s="6" t="inlineStr">
        <is>
          <t>Integration Manager</t>
        </is>
      </c>
      <c r="I11" s="6" t="inlineStr">
        <is>
          <t>Interface control documents, weekly interface board, accountable owners</t>
        </is>
      </c>
      <c r="J11" s="6" t="inlineStr">
        <is>
          <t>Interface actions overdue</t>
        </is>
      </c>
      <c r="K11" s="6" t="inlineStr">
        <is>
          <t>Low</t>
        </is>
      </c>
      <c r="L11" s="6" t="inlineStr">
        <is>
          <t>A2100</t>
        </is>
      </c>
      <c r="M11" s="6" t="inlineStr">
        <is>
          <t>Commissioning, operations readiness and closeout</t>
        </is>
      </c>
      <c r="N11" s="6" t="inlineStr">
        <is>
          <t>03.01</t>
        </is>
      </c>
      <c r="O11" s="6" t="inlineStr">
        <is>
          <t>Risk reserve</t>
        </is>
      </c>
      <c r="P11" s="8" t="n">
        <v>0.506</v>
      </c>
      <c r="Q11" s="9" t="n">
        <v>11.9</v>
      </c>
    </row>
    <row r="12">
      <c r="A12" s="6" t="inlineStr">
        <is>
          <t>R-007</t>
        </is>
      </c>
      <c r="B12" s="6" t="inlineStr">
        <is>
          <t>Commissioning delay</t>
        </is>
      </c>
      <c r="C12" s="6" t="inlineStr">
        <is>
          <t>Handover</t>
        </is>
      </c>
      <c r="D12" s="9" t="n">
        <v>32</v>
      </c>
      <c r="E12" s="6" t="inlineStr">
        <is>
          <t>Incomplete readiness, software integration issues or defects during testing</t>
        </is>
      </c>
      <c r="F12" s="6" t="inlineStr">
        <is>
          <t>Commissioning delay occurs or materialises during delivery.</t>
        </is>
      </c>
      <c r="G12" s="6" t="inlineStr">
        <is>
          <t>Delayed handover, operational readiness slippage and liquidated damages exposure</t>
        </is>
      </c>
      <c r="H12" s="6" t="inlineStr">
        <is>
          <t>Commissioning Lead</t>
        </is>
      </c>
      <c r="I12" s="6" t="inlineStr">
        <is>
          <t>Commissioning readiness plan, early test packs, digital systems integration</t>
        </is>
      </c>
      <c r="J12" s="6" t="inlineStr">
        <is>
          <t>Test failures trend upward</t>
        </is>
      </c>
      <c r="K12" s="6" t="inlineStr">
        <is>
          <t>Low</t>
        </is>
      </c>
      <c r="L12" s="6" t="inlineStr">
        <is>
          <t>A2000</t>
        </is>
      </c>
      <c r="M12" s="6" t="inlineStr">
        <is>
          <t>Systems integration and testing</t>
        </is>
      </c>
      <c r="N12" s="6" t="inlineStr">
        <is>
          <t>03.01</t>
        </is>
      </c>
      <c r="O12" s="6" t="inlineStr">
        <is>
          <t>Risk reserve</t>
        </is>
      </c>
      <c r="P12" s="8" t="n">
        <v>0.408</v>
      </c>
      <c r="Q12" s="9" t="n">
        <v>11.2</v>
      </c>
    </row>
    <row r="13">
      <c r="A13" s="6" t="inlineStr">
        <is>
          <t>R-003</t>
        </is>
      </c>
      <c r="B13" s="6" t="inlineStr">
        <is>
          <t>Permits / approvals delay</t>
        </is>
      </c>
      <c r="C13" s="6" t="inlineStr">
        <is>
          <t>Regulatory</t>
        </is>
      </c>
      <c r="D13" s="9" t="n">
        <v>35</v>
      </c>
      <c r="E13" s="6" t="inlineStr">
        <is>
          <t>Authority process, stakeholder objections or incomplete submissions</t>
        </is>
      </c>
      <c r="F13" s="6" t="inlineStr">
        <is>
          <t>Permits / approvals delay occurs or materialises during delivery.</t>
        </is>
      </c>
      <c r="G13" s="6" t="inlineStr">
        <is>
          <t>Critical path delay, extended preliminaries and potential redesign conditions</t>
        </is>
      </c>
      <c r="H13" s="6" t="inlineStr">
        <is>
          <t>Consents Lead</t>
        </is>
      </c>
      <c r="I13" s="6" t="inlineStr">
        <is>
          <t>Authority plan, consent tracker, early submissions, stakeholder map</t>
        </is>
      </c>
      <c r="J13" s="6" t="inlineStr">
        <is>
          <t>Consent milestone slips by 30 days</t>
        </is>
      </c>
      <c r="K13" s="6" t="inlineStr">
        <is>
          <t>Low</t>
        </is>
      </c>
      <c r="L13" s="6" t="inlineStr">
        <is>
          <t>A1600</t>
        </is>
      </c>
      <c r="M13" s="6" t="inlineStr">
        <is>
          <t>Detailed design / IFC development</t>
        </is>
      </c>
      <c r="N13" s="6" t="inlineStr">
        <is>
          <t>02.01</t>
        </is>
      </c>
      <c r="O13" s="6" t="inlineStr">
        <is>
          <t>Qualification and ramp-up</t>
        </is>
      </c>
      <c r="P13" s="8" t="n">
        <v>0.297</v>
      </c>
      <c r="Q13" s="9" t="n">
        <v>24.5</v>
      </c>
    </row>
    <row r="14">
      <c r="A14" s="6" t="inlineStr">
        <is>
          <t>R-013</t>
        </is>
      </c>
      <c r="B14" s="6" t="inlineStr">
        <is>
          <t>Weather / environmental disruption</t>
        </is>
      </c>
      <c r="C14" s="6" t="inlineStr">
        <is>
          <t>Delivery</t>
        </is>
      </c>
      <c r="D14" s="9" t="n">
        <v>46</v>
      </c>
      <c r="E14" s="6" t="inlineStr">
        <is>
          <t>Extreme weather, environmental windows or site constraints not fully allowed</t>
        </is>
      </c>
      <c r="F14" s="6" t="inlineStr">
        <is>
          <t>Workface access or productivity is disrupted</t>
        </is>
      </c>
      <c r="G14" s="6" t="inlineStr">
        <is>
          <t>Delay, access cost and resequencing</t>
        </is>
      </c>
      <c r="H14" s="6" t="inlineStr">
        <is>
          <t>Construction Manager</t>
        </is>
      </c>
      <c r="I14" s="6" t="inlineStr">
        <is>
          <t>Weather calendars, contingency workfronts, protection strategy</t>
        </is>
      </c>
      <c r="J14" s="6" t="inlineStr">
        <is>
          <t>Weather downtime exceeds allowance</t>
        </is>
      </c>
      <c r="K14" s="6" t="inlineStr">
        <is>
          <t>Red</t>
        </is>
      </c>
      <c r="L14" s="6" t="inlineStr">
        <is>
          <t>A1900</t>
        </is>
      </c>
      <c r="M14" s="6" t="inlineStr">
        <is>
          <t>Linked schedule activity</t>
        </is>
      </c>
      <c r="N14" s="6" t="inlineStr">
        <is>
          <t>01.03</t>
        </is>
      </c>
      <c r="O14" s="6" t="inlineStr">
        <is>
          <t>Linked cost package</t>
        </is>
      </c>
      <c r="P14" s="8" t="n">
        <v>0.176</v>
      </c>
      <c r="Q14" s="9" t="n">
        <v>17.6</v>
      </c>
    </row>
    <row r="15">
      <c r="A15" s="6" t="inlineStr">
        <is>
          <t>R-018</t>
        </is>
      </c>
      <c r="B15" s="6" t="inlineStr">
        <is>
          <t>Interface ownership gap</t>
        </is>
      </c>
      <c r="C15" s="6" t="inlineStr">
        <is>
          <t>Delivery</t>
        </is>
      </c>
      <c r="D15" s="9" t="n">
        <v>38</v>
      </c>
      <c r="E15" s="6" t="inlineStr">
        <is>
          <t>RACI and package boundaries are unclear across packages</t>
        </is>
      </c>
      <c r="F15" s="6" t="inlineStr">
        <is>
          <t>Interface issue has no accountable owner</t>
        </is>
      </c>
      <c r="G15" s="6" t="inlineStr">
        <is>
          <t>Delay, claims and fragmented accountability</t>
        </is>
      </c>
      <c r="H15" s="6" t="inlineStr">
        <is>
          <t>Integration Manager</t>
        </is>
      </c>
      <c r="I15" s="6" t="inlineStr">
        <is>
          <t>Interface control documents and owner matrix</t>
        </is>
      </c>
      <c r="J15" s="6" t="inlineStr">
        <is>
          <t>Interface actions overdue</t>
        </is>
      </c>
      <c r="K15" s="6" t="inlineStr">
        <is>
          <t>Amber</t>
        </is>
      </c>
      <c r="L15" s="6" t="inlineStr">
        <is>
          <t>A1600</t>
        </is>
      </c>
      <c r="M15" s="6" t="inlineStr">
        <is>
          <t>Linked schedule activity</t>
        </is>
      </c>
      <c r="N15" s="6" t="inlineStr">
        <is>
          <t>01.08</t>
        </is>
      </c>
      <c r="O15" s="6" t="inlineStr">
        <is>
          <t>Linked cost package</t>
        </is>
      </c>
      <c r="P15" s="8" t="n">
        <v>0.145</v>
      </c>
      <c r="Q15" s="9" t="n">
        <v>12.2</v>
      </c>
    </row>
    <row r="16">
      <c r="A16" s="6" t="inlineStr">
        <is>
          <t>R-009</t>
        </is>
      </c>
      <c r="B16" s="6" t="inlineStr">
        <is>
          <t>Commercial claims escalation</t>
        </is>
      </c>
      <c r="C16" s="6" t="inlineStr">
        <is>
          <t>Delivery</t>
        </is>
      </c>
      <c r="D16" s="9" t="n">
        <v>30</v>
      </c>
      <c r="E16" s="6" t="inlineStr">
        <is>
          <t>Contract ambiguity, change volume and interface disputes</t>
        </is>
      </c>
      <c r="F16" s="6" t="inlineStr">
        <is>
          <t>Claims submitted above allowance</t>
        </is>
      </c>
      <c r="G16" s="6" t="inlineStr">
        <is>
          <t>Commercial pressure, management distraction and increased outturn cost</t>
        </is>
      </c>
      <c r="H16" s="6" t="inlineStr">
        <is>
          <t>Commercial Lead</t>
        </is>
      </c>
      <c r="I16" s="6" t="inlineStr">
        <is>
          <t>Tight change control, entitlement reviews, dispute avoidance board</t>
        </is>
      </c>
      <c r="J16" s="6" t="inlineStr">
        <is>
          <t>Claim volume exceeds baseline</t>
        </is>
      </c>
      <c r="K16" s="6" t="inlineStr">
        <is>
          <t>Amber</t>
        </is>
      </c>
      <c r="L16" s="6" t="inlineStr">
        <is>
          <t>A1500</t>
        </is>
      </c>
      <c r="M16" s="6" t="inlineStr">
        <is>
          <t>Linked schedule activity</t>
        </is>
      </c>
      <c r="N16" s="6" t="inlineStr">
        <is>
          <t>01.10</t>
        </is>
      </c>
      <c r="O16" s="6" t="inlineStr">
        <is>
          <t>Linked cost package</t>
        </is>
      </c>
      <c r="P16" s="8" t="n">
        <v>0.14</v>
      </c>
      <c r="Q16" s="9" t="n">
        <v>15.1</v>
      </c>
    </row>
    <row r="17">
      <c r="A17" s="6" t="inlineStr">
        <is>
          <t>R-012</t>
        </is>
      </c>
      <c r="B17" s="6" t="inlineStr">
        <is>
          <t>Cyber / controls integration</t>
        </is>
      </c>
      <c r="C17" s="6" t="inlineStr">
        <is>
          <t>Delivery</t>
        </is>
      </c>
      <c r="D17" s="9" t="n">
        <v>42</v>
      </c>
      <c r="E17" s="6" t="inlineStr">
        <is>
          <t>Operational technology, control systems and network interfaces immature</t>
        </is>
      </c>
      <c r="F17" s="6" t="inlineStr">
        <is>
          <t>Controls integration fails testing</t>
        </is>
      </c>
      <c r="G17" s="6" t="inlineStr">
        <is>
          <t>Commissioning delay, resilience issue and operational risk</t>
        </is>
      </c>
      <c r="H17" s="6" t="inlineStr">
        <is>
          <t>Systems Lead</t>
        </is>
      </c>
      <c r="I17" s="6" t="inlineStr">
        <is>
          <t>Early cyber review, FAT/SAT plan, integration lab</t>
        </is>
      </c>
      <c r="J17" s="6" t="inlineStr">
        <is>
          <t>Controls defect trend increases</t>
        </is>
      </c>
      <c r="K17" s="6" t="inlineStr">
        <is>
          <t>Amber</t>
        </is>
      </c>
      <c r="L17" s="6" t="inlineStr">
        <is>
          <t>A1800</t>
        </is>
      </c>
      <c r="M17" s="6" t="inlineStr">
        <is>
          <t>Linked schedule activity</t>
        </is>
      </c>
      <c r="N17" s="6" t="inlineStr">
        <is>
          <t>01.02</t>
        </is>
      </c>
      <c r="O17" s="6" t="inlineStr">
        <is>
          <t>Linked cost package</t>
        </is>
      </c>
      <c r="P17" s="8" t="n">
        <v>0.125</v>
      </c>
      <c r="Q17" s="9" t="n">
        <v>13.5</v>
      </c>
    </row>
    <row r="18">
      <c r="A18" s="6" t="inlineStr">
        <is>
          <t>R-017</t>
        </is>
      </c>
      <c r="B18" s="6" t="inlineStr">
        <is>
          <t>Data / estimate basis weakness</t>
        </is>
      </c>
      <c r="C18" s="6" t="inlineStr">
        <is>
          <t>Delivery</t>
        </is>
      </c>
      <c r="D18" s="9" t="n">
        <v>34</v>
      </c>
      <c r="E18" s="6" t="inlineStr">
        <is>
          <t>Estimate source data, quantities or benchmarks are incomplete</t>
        </is>
      </c>
      <c r="F18" s="6" t="inlineStr">
        <is>
          <t>Baseline cannot be defended under challenge</t>
        </is>
      </c>
      <c r="G18" s="6" t="inlineStr">
        <is>
          <t>Confidence reduction and rework of cost plan</t>
        </is>
      </c>
      <c r="H18" s="6" t="inlineStr">
        <is>
          <t>Cost Lead</t>
        </is>
      </c>
      <c r="I18" s="6" t="inlineStr">
        <is>
          <t>Assumption register, benchmark evidence, quantity validation</t>
        </is>
      </c>
      <c r="J18" s="6" t="inlineStr">
        <is>
          <t>Unknown allowance exceeds threshold</t>
        </is>
      </c>
      <c r="K18" s="6" t="inlineStr">
        <is>
          <t>Amber</t>
        </is>
      </c>
      <c r="L18" s="6" t="inlineStr">
        <is>
          <t>A1500</t>
        </is>
      </c>
      <c r="M18" s="6" t="inlineStr">
        <is>
          <t>Linked schedule activity</t>
        </is>
      </c>
      <c r="N18" s="6" t="inlineStr">
        <is>
          <t>01.07</t>
        </is>
      </c>
      <c r="O18" s="6" t="inlineStr">
        <is>
          <t>Linked cost package</t>
        </is>
      </c>
      <c r="P18" s="8" t="n">
        <v>0.101</v>
      </c>
      <c r="Q18" s="9" t="n">
        <v>21.1</v>
      </c>
    </row>
    <row r="19">
      <c r="A19" s="6" t="inlineStr">
        <is>
          <t>R-014</t>
        </is>
      </c>
      <c r="B19" s="6" t="inlineStr">
        <is>
          <t>Stakeholder change</t>
        </is>
      </c>
      <c r="C19" s="6" t="inlineStr">
        <is>
          <t>Delivery</t>
        </is>
      </c>
      <c r="D19" s="9" t="n">
        <v>22</v>
      </c>
      <c r="E19" s="6" t="inlineStr">
        <is>
          <t>Sponsor, operator or authority requirements evolve late</t>
        </is>
      </c>
      <c r="F19" s="6" t="inlineStr">
        <is>
          <t>Requirements change after baseline freeze</t>
        </is>
      </c>
      <c r="G19" s="6" t="inlineStr">
        <is>
          <t>Scope growth, redesign and approval delays</t>
        </is>
      </c>
      <c r="H19" s="6" t="inlineStr">
        <is>
          <t>Project Director</t>
        </is>
      </c>
      <c r="I19" s="6" t="inlineStr">
        <is>
          <t>Decision log, change board and stakeholder gates</t>
        </is>
      </c>
      <c r="J19" s="6" t="inlineStr">
        <is>
          <t>Late decision count increases</t>
        </is>
      </c>
      <c r="K19" s="6" t="inlineStr">
        <is>
          <t>Green</t>
        </is>
      </c>
      <c r="L19" s="6" t="inlineStr">
        <is>
          <t>A2000</t>
        </is>
      </c>
      <c r="M19" s="6" t="inlineStr">
        <is>
          <t>Linked schedule activity</t>
        </is>
      </c>
      <c r="N19" s="6" t="inlineStr">
        <is>
          <t>01.04</t>
        </is>
      </c>
      <c r="O19" s="6" t="inlineStr">
        <is>
          <t>Linked cost package</t>
        </is>
      </c>
      <c r="P19" s="8" t="n">
        <v>0.103</v>
      </c>
      <c r="Q19" s="9" t="n">
        <v>9.699999999999999</v>
      </c>
    </row>
    <row r="20">
      <c r="A20" s="6" t="inlineStr">
        <is>
          <t>R-011</t>
        </is>
      </c>
      <c r="B20" s="6" t="inlineStr">
        <is>
          <t>Quality failure / rework</t>
        </is>
      </c>
      <c r="C20" s="6" t="inlineStr">
        <is>
          <t>Delivery</t>
        </is>
      </c>
      <c r="D20" s="9" t="n">
        <v>38</v>
      </c>
      <c r="E20" s="6" t="inlineStr">
        <is>
          <t>Installation quality, vendor QA or inspection regime below need</t>
        </is>
      </c>
      <c r="F20" s="6" t="inlineStr">
        <is>
          <t>Inspection failure triggers rework</t>
        </is>
      </c>
      <c r="G20" s="6" t="inlineStr">
        <is>
          <t>Rework cost, schedule delay and confidence loss</t>
        </is>
      </c>
      <c r="H20" s="6" t="inlineStr">
        <is>
          <t>Quality Manager</t>
        </is>
      </c>
      <c r="I20" s="6" t="inlineStr">
        <is>
          <t>ITPs, hold points, vendor QA, right-first-time reviews</t>
        </is>
      </c>
      <c r="J20" s="6" t="inlineStr">
        <is>
          <t>NCR trend increases</t>
        </is>
      </c>
      <c r="K20" s="6" t="inlineStr">
        <is>
          <t>Amber</t>
        </is>
      </c>
      <c r="L20" s="6" t="inlineStr">
        <is>
          <t>A1700</t>
        </is>
      </c>
      <c r="M20" s="6" t="inlineStr">
        <is>
          <t>Linked schedule activity</t>
        </is>
      </c>
      <c r="N20" s="6" t="inlineStr">
        <is>
          <t>01.01</t>
        </is>
      </c>
      <c r="O20" s="6" t="inlineStr">
        <is>
          <t>Linked cost package</t>
        </is>
      </c>
      <c r="P20" s="8" t="n">
        <v>0.081</v>
      </c>
      <c r="Q20" s="9" t="n">
        <v>23.6</v>
      </c>
    </row>
    <row r="21">
      <c r="A21" s="6" t="inlineStr">
        <is>
          <t>R-016</t>
        </is>
      </c>
      <c r="B21" s="6" t="inlineStr">
        <is>
          <t>Commissioning readiness gap</t>
        </is>
      </c>
      <c r="C21" s="6" t="inlineStr">
        <is>
          <t>Delivery</t>
        </is>
      </c>
      <c r="D21" s="9" t="n">
        <v>30</v>
      </c>
      <c r="E21" s="6" t="inlineStr">
        <is>
          <t>Incomplete test packs, operational readiness or training gaps</t>
        </is>
      </c>
      <c r="F21" s="6" t="inlineStr">
        <is>
          <t>Commissioning starts without readiness</t>
        </is>
      </c>
      <c r="G21" s="6" t="inlineStr">
        <is>
          <t>Repeated tests, handover delay and operational risk</t>
        </is>
      </c>
      <c r="H21" s="6" t="inlineStr">
        <is>
          <t>Commissioning Lead</t>
        </is>
      </c>
      <c r="I21" s="6" t="inlineStr">
        <is>
          <t>Readiness dashboard, integrated test plan, early ORAT</t>
        </is>
      </c>
      <c r="J21" s="6" t="inlineStr">
        <is>
          <t>Readiness score below threshold</t>
        </is>
      </c>
      <c r="K21" s="6" t="inlineStr">
        <is>
          <t>Amber</t>
        </is>
      </c>
      <c r="L21" s="6" t="inlineStr">
        <is>
          <t>A1400</t>
        </is>
      </c>
      <c r="M21" s="6" t="inlineStr">
        <is>
          <t>Linked schedule activity</t>
        </is>
      </c>
      <c r="N21" s="6" t="inlineStr">
        <is>
          <t>01.06</t>
        </is>
      </c>
      <c r="O21" s="6" t="inlineStr">
        <is>
          <t>Linked cost package</t>
        </is>
      </c>
      <c r="P21" s="8" t="n">
        <v>0.064</v>
      </c>
      <c r="Q21" s="9" t="n">
        <v>16.9</v>
      </c>
    </row>
    <row r="22">
      <c r="A22" s="6" t="inlineStr">
        <is>
          <t>R-010</t>
        </is>
      </c>
      <c r="B22" s="6" t="inlineStr">
        <is>
          <t>Resource availability</t>
        </is>
      </c>
      <c r="C22" s="6" t="inlineStr">
        <is>
          <t>Delivery</t>
        </is>
      </c>
      <c r="D22" s="9" t="n">
        <v>34</v>
      </c>
      <c r="E22" s="6" t="inlineStr">
        <is>
          <t>Labour, specialist supervisors or commissioning teams constrained</t>
        </is>
      </c>
      <c r="F22" s="6" t="inlineStr">
        <is>
          <t>Required resources are unavailable when planned</t>
        </is>
      </c>
      <c r="G22" s="6" t="inlineStr">
        <is>
          <t>Productivity loss, resequencing and higher preliminaries</t>
        </is>
      </c>
      <c r="H22" s="6" t="inlineStr">
        <is>
          <t>Delivery Lead</t>
        </is>
      </c>
      <c r="I22" s="6" t="inlineStr">
        <is>
          <t>Resource loading, framework call-offs, labour strategy</t>
        </is>
      </c>
      <c r="J22" s="6" t="inlineStr">
        <is>
          <t>Resource histogram red flag</t>
        </is>
      </c>
      <c r="K22" s="6" t="inlineStr">
        <is>
          <t>Amber</t>
        </is>
      </c>
      <c r="L22" s="6" t="inlineStr">
        <is>
          <t>A1600</t>
        </is>
      </c>
      <c r="M22" s="6" t="inlineStr">
        <is>
          <t>Linked schedule activity</t>
        </is>
      </c>
      <c r="N22" s="6" t="inlineStr">
        <is>
          <t>01.11</t>
        </is>
      </c>
      <c r="O22" s="6" t="inlineStr">
        <is>
          <t>Linked cost package</t>
        </is>
      </c>
      <c r="P22" s="8" t="n">
        <v>0.043</v>
      </c>
      <c r="Q22" s="9" t="n">
        <v>19.1</v>
      </c>
    </row>
    <row r="23">
      <c r="A23" s="6" t="inlineStr">
        <is>
          <t>R-015</t>
        </is>
      </c>
      <c r="B23" s="6" t="inlineStr">
        <is>
          <t>Funding / approval gate delay</t>
        </is>
      </c>
      <c r="C23" s="6" t="inlineStr">
        <is>
          <t>Delivery</t>
        </is>
      </c>
      <c r="D23" s="9" t="n">
        <v>26</v>
      </c>
      <c r="E23" s="6" t="inlineStr">
        <is>
          <t>Investment approvals or staged funding gates not aligned with procurement</t>
        </is>
      </c>
      <c r="F23" s="6" t="inlineStr">
        <is>
          <t>Capital release is delayed</t>
        </is>
      </c>
      <c r="G23" s="6" t="inlineStr">
        <is>
          <t>Procurement missed windows and schedule slippage</t>
        </is>
      </c>
      <c r="H23" s="6" t="inlineStr">
        <is>
          <t>Sponsor</t>
        </is>
      </c>
      <c r="I23" s="6" t="inlineStr">
        <is>
          <t>Approval roadmap, early board papers, contingency approvals</t>
        </is>
      </c>
      <c r="J23" s="6" t="inlineStr">
        <is>
          <t>Approval date slips</t>
        </is>
      </c>
      <c r="K23" s="6" t="inlineStr">
        <is>
          <t>Amber</t>
        </is>
      </c>
      <c r="L23" s="6" t="inlineStr">
        <is>
          <t>A2100</t>
        </is>
      </c>
      <c r="M23" s="6" t="inlineStr">
        <is>
          <t>Linked schedule activity</t>
        </is>
      </c>
      <c r="N23" s="6" t="inlineStr">
        <is>
          <t>01.05</t>
        </is>
      </c>
      <c r="O23" s="6" t="inlineStr">
        <is>
          <t>Linked cost package</t>
        </is>
      </c>
      <c r="P23" s="8" t="n">
        <v>0.033</v>
      </c>
      <c r="Q23" s="9" t="n">
        <v>13.1</v>
      </c>
    </row>
  </sheetData>
  <mergeCells count="1">
    <mergeCell ref="A1:Q1"/>
  </mergeCells>
  <conditionalFormatting sqref="K6:K23">
    <cfRule type="containsText" priority="1" operator="containsText" dxfId="0" text="Red">
      <formula>NOT(ISERROR(SEARCH("Red",K6)))</formula>
    </cfRule>
    <cfRule type="containsText" priority="2" operator="containsText" dxfId="1" text="Amber">
      <formula>NOT(ISERROR(SEARCH("Amber",K6)))</formula>
    </cfRule>
    <cfRule type="containsText" priority="3" operator="containsText" dxfId="2" text="Green">
      <formula>NOT(ISERROR(SEARCH("Green",K6)))</formula>
    </cfRule>
  </conditionalFormatting>
  <pageMargins left="0.3" right="0.3" top="0.4" bottom="0.4" header="0.3" footer="0.3"/>
  <pageSetup orientation="landscape"/>
</worksheet>
</file>

<file path=xl/worksheets/sheet6.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s>
  <sheetData>
    <row r="1">
      <c r="A1" s="1" t="inlineStr">
        <is>
          <t>QCRA COST CONFIDENCE CURVE</t>
        </is>
      </c>
    </row>
    <row r="5">
      <c r="A5" s="7" t="inlineStr">
        <is>
          <t>Percentile</t>
        </is>
      </c>
      <c r="B5" s="7" t="inlineStr">
        <is>
          <t>Cost $B</t>
        </is>
      </c>
    </row>
    <row r="6">
      <c r="A6" s="6" t="n">
        <v>1</v>
      </c>
      <c r="B6" s="8" t="n">
        <v>16.54</v>
      </c>
    </row>
    <row r="7">
      <c r="A7" s="6" t="n">
        <v>5</v>
      </c>
      <c r="B7" s="8" t="n">
        <v>17.17</v>
      </c>
    </row>
    <row r="8">
      <c r="A8" s="6" t="n">
        <v>10</v>
      </c>
      <c r="B8" s="8" t="n">
        <v>17.81</v>
      </c>
    </row>
    <row r="9">
      <c r="A9" s="6" t="n">
        <v>20</v>
      </c>
      <c r="B9" s="8" t="n">
        <v>18.87</v>
      </c>
    </row>
    <row r="10">
      <c r="A10" s="6" t="n">
        <v>30</v>
      </c>
      <c r="B10" s="8" t="n">
        <v>19.72</v>
      </c>
    </row>
    <row r="11">
      <c r="A11" s="6" t="n">
        <v>40</v>
      </c>
      <c r="B11" s="8" t="n">
        <v>20.56</v>
      </c>
    </row>
    <row r="12">
      <c r="A12" s="6" t="n">
        <v>50</v>
      </c>
      <c r="B12" s="8" t="n">
        <v>21.2</v>
      </c>
    </row>
    <row r="13">
      <c r="A13" s="6" t="n">
        <v>60</v>
      </c>
      <c r="B13" s="8" t="n">
        <v>22.47</v>
      </c>
    </row>
    <row r="14">
      <c r="A14" s="6" t="n">
        <v>70</v>
      </c>
      <c r="B14" s="8" t="n">
        <v>24.38</v>
      </c>
    </row>
    <row r="15">
      <c r="A15" s="6" t="n">
        <v>80</v>
      </c>
      <c r="B15" s="8" t="n">
        <v>27.56</v>
      </c>
    </row>
    <row r="16">
      <c r="A16" s="6" t="n">
        <v>90</v>
      </c>
      <c r="B16" s="8" t="n">
        <v>31.16</v>
      </c>
    </row>
    <row r="17">
      <c r="A17" s="6" t="n">
        <v>95</v>
      </c>
      <c r="B17" s="8" t="n">
        <v>33.5</v>
      </c>
    </row>
    <row r="18">
      <c r="A18" s="6" t="n">
        <v>99</v>
      </c>
      <c r="B18" s="8" t="n">
        <v>36.46</v>
      </c>
    </row>
  </sheetData>
  <mergeCells count="1">
    <mergeCell ref="A1:D1"/>
  </mergeCells>
  <pageMargins left="0.3" right="0.3" top="0.4" bottom="0.4" header="0.3" footer="0.3"/>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1"/>
    <col width="18.7109375" customWidth="1" min="2" max="2"/>
  </cols>
  <sheetData>
    <row r="1">
      <c r="A1" s="1" t="inlineStr">
        <is>
          <t>QSRA SCHEDULE CONFIDENCE CURVE</t>
        </is>
      </c>
    </row>
    <row r="5">
      <c r="A5" s="7" t="inlineStr">
        <is>
          <t>Percentile</t>
        </is>
      </c>
      <c r="B5" s="7" t="inlineStr">
        <is>
          <t>Duration Months</t>
        </is>
      </c>
    </row>
    <row r="6">
      <c r="A6" s="6" t="n">
        <v>1</v>
      </c>
      <c r="B6" s="9" t="n">
        <v>75</v>
      </c>
    </row>
    <row r="7">
      <c r="A7" s="6" t="n">
        <v>5</v>
      </c>
      <c r="B7" s="9" t="n">
        <v>77</v>
      </c>
    </row>
    <row r="8">
      <c r="A8" s="6" t="n">
        <v>10</v>
      </c>
      <c r="B8" s="9" t="n">
        <v>79</v>
      </c>
    </row>
    <row r="9">
      <c r="A9" s="6" t="n">
        <v>20</v>
      </c>
      <c r="B9" s="9" t="n">
        <v>83</v>
      </c>
    </row>
    <row r="10">
      <c r="A10" s="6" t="n">
        <v>30</v>
      </c>
      <c r="B10" s="9" t="n">
        <v>86</v>
      </c>
    </row>
    <row r="11">
      <c r="A11" s="6" t="n">
        <v>40</v>
      </c>
      <c r="B11" s="9" t="n">
        <v>89</v>
      </c>
    </row>
    <row r="12">
      <c r="A12" s="6" t="n">
        <v>50</v>
      </c>
      <c r="B12" s="9" t="n">
        <v>92</v>
      </c>
    </row>
    <row r="13">
      <c r="A13" s="6" t="n">
        <v>60</v>
      </c>
      <c r="B13" s="9" t="n">
        <v>98</v>
      </c>
    </row>
    <row r="14">
      <c r="A14" s="6" t="n">
        <v>70</v>
      </c>
      <c r="B14" s="9" t="n">
        <v>106</v>
      </c>
    </row>
    <row r="15">
      <c r="A15" s="6" t="n">
        <v>80</v>
      </c>
      <c r="B15" s="9" t="n">
        <v>120</v>
      </c>
    </row>
    <row r="16">
      <c r="A16" s="6" t="n">
        <v>90</v>
      </c>
      <c r="B16" s="9" t="n">
        <v>135</v>
      </c>
    </row>
    <row r="17">
      <c r="A17" s="6" t="n">
        <v>95</v>
      </c>
      <c r="B17" s="9" t="n">
        <v>145</v>
      </c>
    </row>
    <row r="18">
      <c r="A18" s="6" t="n">
        <v>99</v>
      </c>
      <c r="B18" s="9" t="n">
        <v>158</v>
      </c>
    </row>
  </sheetData>
  <mergeCells count="1">
    <mergeCell ref="A1:D1"/>
  </mergeCells>
  <pageMargins left="0.3" right="0.3" top="0.4" bottom="0.4" header="0.3" footer="0.3"/>
  <pageSetup orientation="landscape"/>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0.7109375" customWidth="1" min="3" max="3"/>
    <col width="14.7109375" customWidth="1" min="4" max="4"/>
    <col width="48.7109375" customWidth="1" min="5" max="5"/>
  </cols>
  <sheetData>
    <row r="1">
      <c r="A1" s="1" t="inlineStr">
        <is>
          <t>QCRA COST TORNADO — COST DRIVERS ONLY</t>
        </is>
      </c>
    </row>
    <row r="5">
      <c r="A5" s="7" t="inlineStr">
        <is>
          <t>Rank</t>
        </is>
      </c>
      <c r="B5" s="7" t="inlineStr">
        <is>
          <t>Driver</t>
        </is>
      </c>
      <c r="C5" s="7" t="inlineStr">
        <is>
          <t>CBS</t>
        </is>
      </c>
      <c r="D5" s="7" t="inlineStr">
        <is>
          <t>Mean Cost $B</t>
        </is>
      </c>
      <c r="E5" s="7" t="inlineStr">
        <is>
          <t>Action</t>
        </is>
      </c>
    </row>
    <row r="6">
      <c r="A6" s="6" t="n">
        <v>1</v>
      </c>
      <c r="B6" s="6" t="inlineStr">
        <is>
          <t>Market escalation</t>
        </is>
      </c>
      <c r="C6" s="6" t="inlineStr">
        <is>
          <t>01.05</t>
        </is>
      </c>
      <c r="D6" s="8" t="n">
        <v>0.956</v>
      </c>
      <c r="E6" s="6" t="inlineStr">
        <is>
          <t>Early procurement, index-linked allowances, market testing, FX strategy</t>
        </is>
      </c>
    </row>
    <row r="7">
      <c r="A7" s="6" t="n">
        <v>2</v>
      </c>
      <c r="B7" s="6" t="inlineStr">
        <is>
          <t>Design maturity gap</t>
        </is>
      </c>
      <c r="C7" s="6" t="inlineStr">
        <is>
          <t>02.02</t>
        </is>
      </c>
      <c r="D7" s="8" t="n">
        <v>0.726</v>
      </c>
      <c r="E7" s="6" t="inlineStr">
        <is>
          <t>Design maturity gates, independent review, assumption register</t>
        </is>
      </c>
    </row>
    <row r="8">
      <c r="A8" s="6" t="n">
        <v>3</v>
      </c>
      <c r="B8" s="6" t="inlineStr">
        <is>
          <t>Scope growth</t>
        </is>
      </c>
      <c r="C8" s="6" t="inlineStr">
        <is>
          <t>01.04</t>
        </is>
      </c>
      <c r="D8" s="8" t="n">
        <v>0.714</v>
      </c>
      <c r="E8" s="6" t="inlineStr">
        <is>
          <t>Freeze scope baseline, change board, value gates, client decision log</t>
        </is>
      </c>
    </row>
    <row r="9">
      <c r="A9" s="6" t="n">
        <v>4</v>
      </c>
      <c r="B9" s="6" t="inlineStr">
        <is>
          <t>Productivity underperformance</t>
        </is>
      </c>
      <c r="C9" s="6" t="inlineStr">
        <is>
          <t>03.01</t>
        </is>
      </c>
      <c r="D9" s="8" t="n">
        <v>0.595</v>
      </c>
      <c r="E9" s="6" t="inlineStr">
        <is>
          <t>Package productivity controls, daily planning, earned value cadence</t>
        </is>
      </c>
    </row>
    <row r="10">
      <c r="A10" s="6" t="n">
        <v>5</v>
      </c>
      <c r="B10" s="6" t="inlineStr">
        <is>
          <t>Supply chain delay</t>
        </is>
      </c>
      <c r="C10" s="6" t="inlineStr">
        <is>
          <t>03.01</t>
        </is>
      </c>
      <c r="D10" s="8" t="n">
        <v>0.595</v>
      </c>
      <c r="E10" s="6" t="inlineStr">
        <is>
          <t>Alternate suppliers, early orders, expediting, framework options</t>
        </is>
      </c>
    </row>
    <row r="11">
      <c r="A11" s="6" t="n">
        <v>6</v>
      </c>
      <c r="B11" s="6" t="inlineStr">
        <is>
          <t>Interface misalignment</t>
        </is>
      </c>
      <c r="C11" s="6" t="inlineStr">
        <is>
          <t>03.01</t>
        </is>
      </c>
      <c r="D11" s="8" t="n">
        <v>0.506</v>
      </c>
      <c r="E11" s="6" t="inlineStr">
        <is>
          <t>Interface control documents, weekly interface board, accountable owners</t>
        </is>
      </c>
    </row>
    <row r="12">
      <c r="A12" s="6" t="n">
        <v>7</v>
      </c>
      <c r="B12" s="6" t="inlineStr">
        <is>
          <t>Commissioning delay</t>
        </is>
      </c>
      <c r="C12" s="6" t="inlineStr">
        <is>
          <t>03.01</t>
        </is>
      </c>
      <c r="D12" s="8" t="n">
        <v>0.408</v>
      </c>
      <c r="E12" s="6" t="inlineStr">
        <is>
          <t>Commissioning readiness plan, early test packs, digital systems integration</t>
        </is>
      </c>
    </row>
    <row r="13">
      <c r="A13" s="6" t="n">
        <v>8</v>
      </c>
      <c r="B13" s="6" t="inlineStr">
        <is>
          <t>Permits / approvals delay</t>
        </is>
      </c>
      <c r="C13" s="6" t="inlineStr">
        <is>
          <t>02.01</t>
        </is>
      </c>
      <c r="D13" s="8" t="n">
        <v>0.297</v>
      </c>
      <c r="E13" s="6" t="inlineStr">
        <is>
          <t>Authority plan, consent tracker, early submissions, stakeholder map</t>
        </is>
      </c>
    </row>
    <row r="14">
      <c r="A14" s="6" t="n">
        <v>9</v>
      </c>
      <c r="B14" s="6" t="inlineStr">
        <is>
          <t>Weather / environmental disruption</t>
        </is>
      </c>
      <c r="C14" s="6" t="inlineStr">
        <is>
          <t>01.03</t>
        </is>
      </c>
      <c r="D14" s="8" t="n">
        <v>0.176</v>
      </c>
      <c r="E14" s="6" t="inlineStr">
        <is>
          <t>Weather calendars, contingency workfronts, protection strategy</t>
        </is>
      </c>
    </row>
    <row r="15">
      <c r="A15" s="6" t="n">
        <v>10</v>
      </c>
      <c r="B15" s="6" t="inlineStr">
        <is>
          <t>Interface ownership gap</t>
        </is>
      </c>
      <c r="C15" s="6" t="inlineStr">
        <is>
          <t>01.08</t>
        </is>
      </c>
      <c r="D15" s="8" t="n">
        <v>0.145</v>
      </c>
      <c r="E15" s="6" t="inlineStr">
        <is>
          <t>Interface control documents and owner matrix</t>
        </is>
      </c>
    </row>
    <row r="16">
      <c r="A16" s="6" t="n">
        <v>11</v>
      </c>
      <c r="B16" s="6" t="inlineStr">
        <is>
          <t>Commercial claims escalation</t>
        </is>
      </c>
      <c r="C16" s="6" t="inlineStr">
        <is>
          <t>01.10</t>
        </is>
      </c>
      <c r="D16" s="8" t="n">
        <v>0.14</v>
      </c>
      <c r="E16" s="6" t="inlineStr">
        <is>
          <t>Tight change control, entitlement reviews, dispute avoidance board</t>
        </is>
      </c>
    </row>
    <row r="17">
      <c r="A17" s="6" t="n">
        <v>12</v>
      </c>
      <c r="B17" s="6" t="inlineStr">
        <is>
          <t>Cyber / controls integration</t>
        </is>
      </c>
      <c r="C17" s="6" t="inlineStr">
        <is>
          <t>01.02</t>
        </is>
      </c>
      <c r="D17" s="8" t="n">
        <v>0.125</v>
      </c>
      <c r="E17" s="6" t="inlineStr">
        <is>
          <t>Early cyber review, FAT/SAT plan, integration lab</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2.7109375" customWidth="1" min="3" max="4"/>
    <col width="48.7109375" customWidth="1" min="5" max="5"/>
  </cols>
  <sheetData>
    <row r="1">
      <c r="A1" s="1" t="inlineStr">
        <is>
          <t>QSRA SCHEDULE TORNADO — SCHEDULE DRIVERS ONLY</t>
        </is>
      </c>
    </row>
    <row r="5">
      <c r="A5" s="7" t="inlineStr">
        <is>
          <t>Rank</t>
        </is>
      </c>
      <c r="B5" s="7" t="inlineStr">
        <is>
          <t>Driver</t>
        </is>
      </c>
      <c r="C5" s="7" t="inlineStr">
        <is>
          <t>Activity</t>
        </is>
      </c>
      <c r="D5" s="7" t="inlineStr">
        <is>
          <t>Mean Days</t>
        </is>
      </c>
      <c r="E5" s="7" t="inlineStr">
        <is>
          <t>Action</t>
        </is>
      </c>
    </row>
    <row r="6">
      <c r="A6" s="6" t="n">
        <v>1</v>
      </c>
      <c r="B6" s="6" t="inlineStr">
        <is>
          <t>Permits / approvals delay</t>
        </is>
      </c>
      <c r="C6" s="6" t="inlineStr">
        <is>
          <t>A1600</t>
        </is>
      </c>
      <c r="D6" s="9" t="n">
        <v>24.5</v>
      </c>
      <c r="E6" s="6" t="inlineStr">
        <is>
          <t>Authority plan, consent tracker, early submissions, stakeholder map</t>
        </is>
      </c>
    </row>
    <row r="7">
      <c r="A7" s="6" t="n">
        <v>2</v>
      </c>
      <c r="B7" s="6" t="inlineStr">
        <is>
          <t>Quality failure / rework</t>
        </is>
      </c>
      <c r="C7" s="6" t="inlineStr">
        <is>
          <t>A1700</t>
        </is>
      </c>
      <c r="D7" s="9" t="n">
        <v>23.6</v>
      </c>
      <c r="E7" s="6" t="inlineStr">
        <is>
          <t>ITPs, hold points, vendor QA, right-first-time reviews</t>
        </is>
      </c>
    </row>
    <row r="8">
      <c r="A8" s="6" t="n">
        <v>3</v>
      </c>
      <c r="B8" s="6" t="inlineStr">
        <is>
          <t>Data / estimate basis weakness</t>
        </is>
      </c>
      <c r="C8" s="6" t="inlineStr">
        <is>
          <t>A1500</t>
        </is>
      </c>
      <c r="D8" s="9" t="n">
        <v>21.1</v>
      </c>
      <c r="E8" s="6" t="inlineStr">
        <is>
          <t>Assumption register, benchmark evidence, quantity validation</t>
        </is>
      </c>
    </row>
    <row r="9">
      <c r="A9" s="6" t="n">
        <v>4</v>
      </c>
      <c r="B9" s="6" t="inlineStr">
        <is>
          <t>Resource availability</t>
        </is>
      </c>
      <c r="C9" s="6" t="inlineStr">
        <is>
          <t>A1600</t>
        </is>
      </c>
      <c r="D9" s="9" t="n">
        <v>19.1</v>
      </c>
      <c r="E9" s="6" t="inlineStr">
        <is>
          <t>Resource loading, framework call-offs, labour strategy</t>
        </is>
      </c>
    </row>
    <row r="10">
      <c r="A10" s="6" t="n">
        <v>5</v>
      </c>
      <c r="B10" s="6" t="inlineStr">
        <is>
          <t>Scope growth</t>
        </is>
      </c>
      <c r="C10" s="6" t="inlineStr">
        <is>
          <t>A1400</t>
        </is>
      </c>
      <c r="D10" s="9" t="n">
        <v>18.9</v>
      </c>
      <c r="E10" s="6" t="inlineStr">
        <is>
          <t>Freeze scope baseline, change board, value gates, client decision log</t>
        </is>
      </c>
    </row>
    <row r="11">
      <c r="A11" s="6" t="n">
        <v>6</v>
      </c>
      <c r="B11" s="6" t="inlineStr">
        <is>
          <t>Weather / environmental disruption</t>
        </is>
      </c>
      <c r="C11" s="6" t="inlineStr">
        <is>
          <t>A1900</t>
        </is>
      </c>
      <c r="D11" s="9" t="n">
        <v>17.6</v>
      </c>
      <c r="E11" s="6" t="inlineStr">
        <is>
          <t>Weather calendars, contingency workfronts, protection strategy</t>
        </is>
      </c>
    </row>
    <row r="12">
      <c r="A12" s="6" t="n">
        <v>7</v>
      </c>
      <c r="B12" s="6" t="inlineStr">
        <is>
          <t>Productivity underperformance</t>
        </is>
      </c>
      <c r="C12" s="6" t="inlineStr">
        <is>
          <t>A1900</t>
        </is>
      </c>
      <c r="D12" s="9" t="n">
        <v>17.5</v>
      </c>
      <c r="E12" s="6" t="inlineStr">
        <is>
          <t>Package productivity controls, daily planning, earned value cadence</t>
        </is>
      </c>
    </row>
    <row r="13">
      <c r="A13" s="6" t="n">
        <v>8</v>
      </c>
      <c r="B13" s="6" t="inlineStr">
        <is>
          <t>Design maturity gap</t>
        </is>
      </c>
      <c r="C13" s="6" t="inlineStr">
        <is>
          <t>A1700</t>
        </is>
      </c>
      <c r="D13" s="9" t="n">
        <v>17.1</v>
      </c>
      <c r="E13" s="6" t="inlineStr">
        <is>
          <t>Design maturity gates, independent review, assumption register</t>
        </is>
      </c>
    </row>
    <row r="14">
      <c r="A14" s="6" t="n">
        <v>9</v>
      </c>
      <c r="B14" s="6" t="inlineStr">
        <is>
          <t>Commissioning readiness gap</t>
        </is>
      </c>
      <c r="C14" s="6" t="inlineStr">
        <is>
          <t>A1400</t>
        </is>
      </c>
      <c r="D14" s="9" t="n">
        <v>16.9</v>
      </c>
      <c r="E14" s="6" t="inlineStr">
        <is>
          <t>Readiness dashboard, integrated test plan, early ORAT</t>
        </is>
      </c>
    </row>
    <row r="15">
      <c r="A15" s="6" t="n">
        <v>10</v>
      </c>
      <c r="B15" s="6" t="inlineStr">
        <is>
          <t>Supply chain delay</t>
        </is>
      </c>
      <c r="C15" s="6" t="inlineStr">
        <is>
          <t>A1800</t>
        </is>
      </c>
      <c r="D15" s="9" t="n">
        <v>16</v>
      </c>
      <c r="E15" s="6" t="inlineStr">
        <is>
          <t>Alternate suppliers, early orders, expediting, framework options</t>
        </is>
      </c>
    </row>
    <row r="16">
      <c r="A16" s="6" t="n">
        <v>11</v>
      </c>
      <c r="B16" s="6" t="inlineStr">
        <is>
          <t>Commercial claims escalation</t>
        </is>
      </c>
      <c r="C16" s="6" t="inlineStr">
        <is>
          <t>A1500</t>
        </is>
      </c>
      <c r="D16" s="9" t="n">
        <v>15.1</v>
      </c>
      <c r="E16" s="6" t="inlineStr">
        <is>
          <t>Tight change control, entitlement reviews, dispute avoidance board</t>
        </is>
      </c>
    </row>
    <row r="17">
      <c r="A17" s="6" t="n">
        <v>12</v>
      </c>
      <c r="B17" s="6" t="inlineStr">
        <is>
          <t>Cyber / controls integration</t>
        </is>
      </c>
      <c r="C17" s="6" t="inlineStr">
        <is>
          <t>A1800</t>
        </is>
      </c>
      <c r="D17" s="9" t="n">
        <v>13.5</v>
      </c>
      <c r="E17" s="6" t="inlineStr">
        <is>
          <t>Early cyber review, FAT/SAT plan, integration lab</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84"/>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13.7109375" customWidth="1" min="2" max="2"/>
    <col width="16.7109375" customWidth="1" min="3" max="3"/>
    <col width="36.7109375" customWidth="1" min="4" max="4"/>
    <col width="18.7109375" customWidth="1" min="5" max="5"/>
    <col width="14.7109375" customWidth="1" min="6" max="6"/>
    <col width="10.7109375" customWidth="1" min="7" max="7"/>
    <col width="48.7109375" customWidth="1" min="8" max="8"/>
  </cols>
  <sheetData>
    <row r="1">
      <c r="A1" s="1" t="inlineStr">
        <is>
          <t>SCHEDULE LEVELS 1–5 — ALL LEVELS GENERATED</t>
        </is>
      </c>
    </row>
    <row r="5">
      <c r="A5" s="7" t="inlineStr">
        <is>
          <t>Level</t>
        </is>
      </c>
      <c r="B5" s="7" t="inlineStr">
        <is>
          <t>Activity ID</t>
        </is>
      </c>
      <c r="C5" s="7" t="inlineStr">
        <is>
          <t>Phase</t>
        </is>
      </c>
      <c r="D5" s="7" t="inlineStr">
        <is>
          <t>Activity</t>
        </is>
      </c>
      <c r="E5" s="7" t="inlineStr">
        <is>
          <t>Predecessor</t>
        </is>
      </c>
      <c r="F5" s="7" t="inlineStr">
        <is>
          <t>Duration Months</t>
        </is>
      </c>
      <c r="G5" s="7" t="inlineStr">
        <is>
          <t>Critical</t>
        </is>
      </c>
      <c r="H5" s="7" t="inlineStr">
        <is>
          <t>Basis</t>
        </is>
      </c>
    </row>
    <row r="6">
      <c r="A6" s="6" t="inlineStr">
        <is>
          <t>1</t>
        </is>
      </c>
      <c r="B6" s="6" t="inlineStr">
        <is>
          <t>M100</t>
        </is>
      </c>
      <c r="C6" s="6" t="inlineStr">
        <is>
          <t>Milestone</t>
        </is>
      </c>
      <c r="D6" s="6" t="inlineStr">
        <is>
          <t>Investment approval</t>
        </is>
      </c>
      <c r="E6" s="6" t="n"/>
      <c r="F6" s="9" t="n">
        <v>5</v>
      </c>
      <c r="G6" s="6" t="inlineStr">
        <is>
          <t>No</t>
        </is>
      </c>
      <c r="H6" s="6" t="inlineStr">
        <is>
          <t>Duration derived from sector schedule model, selected schedule level and scenario compression/buffer logic.</t>
        </is>
      </c>
    </row>
    <row r="7">
      <c r="A7" s="6" t="inlineStr">
        <is>
          <t>1</t>
        </is>
      </c>
      <c r="B7" s="6" t="inlineStr">
        <is>
          <t>M200</t>
        </is>
      </c>
      <c r="C7" s="6" t="inlineStr">
        <is>
          <t>Milestone</t>
        </is>
      </c>
      <c r="D7" s="6" t="inlineStr">
        <is>
          <t>Design complete</t>
        </is>
      </c>
      <c r="E7" s="6" t="inlineStr">
        <is>
          <t>M100</t>
        </is>
      </c>
      <c r="F7" s="9" t="n">
        <v>18</v>
      </c>
      <c r="G7" s="6" t="inlineStr">
        <is>
          <t>No</t>
        </is>
      </c>
      <c r="H7" s="6" t="inlineStr">
        <is>
          <t>Duration derived from sector schedule model, selected schedule level and scenario compression/buffer logic.</t>
        </is>
      </c>
    </row>
    <row r="8">
      <c r="A8" s="6" t="inlineStr">
        <is>
          <t>1</t>
        </is>
      </c>
      <c r="B8" s="6" t="inlineStr">
        <is>
          <t>M300</t>
        </is>
      </c>
      <c r="C8" s="6" t="inlineStr">
        <is>
          <t>Milestone</t>
        </is>
      </c>
      <c r="D8" s="6" t="inlineStr">
        <is>
          <t>Procurement complete</t>
        </is>
      </c>
      <c r="E8" s="6" t="inlineStr">
        <is>
          <t>M200</t>
        </is>
      </c>
      <c r="F8" s="9" t="n">
        <v>14</v>
      </c>
      <c r="G8" s="6" t="inlineStr">
        <is>
          <t>No</t>
        </is>
      </c>
      <c r="H8" s="6" t="inlineStr">
        <is>
          <t>Duration derived from sector schedule model, selected schedule level and scenario compression/buffer logic.</t>
        </is>
      </c>
    </row>
    <row r="9">
      <c r="A9" s="6" t="inlineStr">
        <is>
          <t>1</t>
        </is>
      </c>
      <c r="B9" s="6" t="inlineStr">
        <is>
          <t>M400</t>
        </is>
      </c>
      <c r="C9" s="6" t="inlineStr">
        <is>
          <t>Milestone</t>
        </is>
      </c>
      <c r="D9" s="6" t="inlineStr">
        <is>
          <t>Delivery complete</t>
        </is>
      </c>
      <c r="E9" s="6" t="inlineStr">
        <is>
          <t>M300</t>
        </is>
      </c>
      <c r="F9" s="9" t="n">
        <v>37</v>
      </c>
      <c r="G9" s="6" t="inlineStr">
        <is>
          <t>No</t>
        </is>
      </c>
      <c r="H9" s="6" t="inlineStr">
        <is>
          <t>Duration derived from sector schedule model, selected schedule level and scenario compression/buffer logic.</t>
        </is>
      </c>
    </row>
    <row r="10">
      <c r="A10" s="6" t="inlineStr">
        <is>
          <t>1</t>
        </is>
      </c>
      <c r="B10" s="6" t="inlineStr">
        <is>
          <t>M500</t>
        </is>
      </c>
      <c r="C10" s="6" t="inlineStr">
        <is>
          <t>Milestone</t>
        </is>
      </c>
      <c r="D10" s="6" t="inlineStr">
        <is>
          <t>Ready for operations</t>
        </is>
      </c>
      <c r="E10" s="6" t="inlineStr">
        <is>
          <t>M400</t>
        </is>
      </c>
      <c r="F10" s="9" t="n">
        <v>14</v>
      </c>
      <c r="G10" s="6" t="inlineStr">
        <is>
          <t>No</t>
        </is>
      </c>
      <c r="H10" s="6" t="inlineStr">
        <is>
          <t>Duration derived from sector schedule model, selected schedule level and scenario compression/buffer logic.</t>
        </is>
      </c>
    </row>
    <row r="11">
      <c r="A11" s="6" t="inlineStr">
        <is>
          <t>1</t>
        </is>
      </c>
      <c r="B11" s="6" t="inlineStr">
        <is>
          <t>M600</t>
        </is>
      </c>
      <c r="C11" s="6" t="inlineStr">
        <is>
          <t>Milestone</t>
        </is>
      </c>
      <c r="D11" s="6" t="inlineStr">
        <is>
          <t>Handover</t>
        </is>
      </c>
      <c r="E11" s="6" t="inlineStr">
        <is>
          <t>M500</t>
        </is>
      </c>
      <c r="F11" s="9" t="n">
        <v>5</v>
      </c>
      <c r="G11" s="6" t="inlineStr">
        <is>
          <t>No</t>
        </is>
      </c>
      <c r="H11" s="6" t="inlineStr">
        <is>
          <t>Duration derived from sector schedule model, selected schedule level and scenario compression/buffer logic.</t>
        </is>
      </c>
    </row>
    <row r="12">
      <c r="A12" s="6" t="inlineStr">
        <is>
          <t>2</t>
        </is>
      </c>
      <c r="B12" s="6" t="inlineStr">
        <is>
          <t>A1000</t>
        </is>
      </c>
      <c r="C12" s="6" t="inlineStr">
        <is>
          <t>Governance</t>
        </is>
      </c>
      <c r="D12" s="6" t="inlineStr">
        <is>
          <t>Project initiation / controls setup</t>
        </is>
      </c>
      <c r="E12" s="6" t="n"/>
      <c r="F12" s="9" t="n">
        <v>3</v>
      </c>
      <c r="G12" s="6" t="inlineStr">
        <is>
          <t>No</t>
        </is>
      </c>
      <c r="H12" s="6" t="inlineStr">
        <is>
          <t>Duration derived from sector schedule model, selected schedule level and scenario compression/buffer logic.</t>
        </is>
      </c>
    </row>
    <row r="13">
      <c r="A13" s="6" t="inlineStr">
        <is>
          <t>2</t>
        </is>
      </c>
      <c r="B13" s="6" t="inlineStr">
        <is>
          <t>A1100</t>
        </is>
      </c>
      <c r="C13" s="6" t="inlineStr">
        <is>
          <t>Business Case</t>
        </is>
      </c>
      <c r="D13" s="6" t="inlineStr">
        <is>
          <t>Strategic brief, funding and approval</t>
        </is>
      </c>
      <c r="E13" s="6" t="inlineStr">
        <is>
          <t>A1000</t>
        </is>
      </c>
      <c r="F13" s="9" t="n">
        <v>5</v>
      </c>
      <c r="G13" s="6" t="inlineStr">
        <is>
          <t>No</t>
        </is>
      </c>
      <c r="H13" s="6" t="inlineStr">
        <is>
          <t>Duration derived from sector schedule model, selected schedule level and scenario compression/buffer logic.</t>
        </is>
      </c>
    </row>
    <row r="14">
      <c r="A14" s="6" t="inlineStr">
        <is>
          <t>2</t>
        </is>
      </c>
      <c r="B14" s="6" t="inlineStr">
        <is>
          <t>A1200</t>
        </is>
      </c>
      <c r="C14" s="6" t="inlineStr">
        <is>
          <t>Scope</t>
        </is>
      </c>
      <c r="D14" s="6" t="inlineStr">
        <is>
          <t>Requirements definition and scope freeze</t>
        </is>
      </c>
      <c r="E14" s="6" t="inlineStr">
        <is>
          <t>A1100</t>
        </is>
      </c>
      <c r="F14" s="9" t="n">
        <v>5</v>
      </c>
      <c r="G14" s="6" t="inlineStr">
        <is>
          <t>No</t>
        </is>
      </c>
      <c r="H14" s="6" t="inlineStr">
        <is>
          <t>Duration derived from sector schedule model, selected schedule level and scenario compression/buffer logic.</t>
        </is>
      </c>
    </row>
    <row r="15">
      <c r="A15" s="6" t="inlineStr">
        <is>
          <t>2</t>
        </is>
      </c>
      <c r="B15" s="6" t="inlineStr">
        <is>
          <t>A1300</t>
        </is>
      </c>
      <c r="C15" s="6" t="inlineStr">
        <is>
          <t>Design</t>
        </is>
      </c>
      <c r="D15" s="6" t="inlineStr">
        <is>
          <t>Concept / reference architecture</t>
        </is>
      </c>
      <c r="E15" s="6" t="inlineStr">
        <is>
          <t>A1200</t>
        </is>
      </c>
      <c r="F15" s="9" t="n">
        <v>7</v>
      </c>
      <c r="G15" s="6" t="inlineStr">
        <is>
          <t>No</t>
        </is>
      </c>
      <c r="H15" s="6" t="inlineStr">
        <is>
          <t>Duration derived from sector schedule model, selected schedule level and scenario compression/buffer logic.</t>
        </is>
      </c>
    </row>
    <row r="16">
      <c r="A16" s="6" t="inlineStr">
        <is>
          <t>2</t>
        </is>
      </c>
      <c r="B16" s="6" t="inlineStr">
        <is>
          <t>A1400</t>
        </is>
      </c>
      <c r="C16" s="6" t="inlineStr">
        <is>
          <t>Consents</t>
        </is>
      </c>
      <c r="D16" s="6" t="inlineStr">
        <is>
          <t>Planning, regulatory and stakeholder approvals</t>
        </is>
      </c>
      <c r="E16" s="6" t="inlineStr">
        <is>
          <t>A1200</t>
        </is>
      </c>
      <c r="F16" s="9" t="n">
        <v>8</v>
      </c>
      <c r="G16" s="6" t="inlineStr">
        <is>
          <t>Yes</t>
        </is>
      </c>
      <c r="H16" s="6" t="inlineStr">
        <is>
          <t>Duration derived from sector schedule model, selected schedule level and scenario compression/buffer logic.</t>
        </is>
      </c>
    </row>
    <row r="17">
      <c r="A17" s="6" t="inlineStr">
        <is>
          <t>2</t>
        </is>
      </c>
      <c r="B17" s="6" t="inlineStr">
        <is>
          <t>A1500</t>
        </is>
      </c>
      <c r="C17" s="6" t="inlineStr">
        <is>
          <t>Procurement</t>
        </is>
      </c>
      <c r="D17" s="6" t="inlineStr">
        <is>
          <t>Procurement strategy and tender packaging</t>
        </is>
      </c>
      <c r="E17" s="6" t="inlineStr">
        <is>
          <t>A1300</t>
        </is>
      </c>
      <c r="F17" s="9" t="n">
        <v>6</v>
      </c>
      <c r="G17" s="6" t="inlineStr">
        <is>
          <t>No</t>
        </is>
      </c>
      <c r="H17" s="6" t="inlineStr">
        <is>
          <t>Duration derived from sector schedule model, selected schedule level and scenario compression/buffer logic.</t>
        </is>
      </c>
    </row>
    <row r="18">
      <c r="A18" s="6" t="inlineStr">
        <is>
          <t>2</t>
        </is>
      </c>
      <c r="B18" s="6" t="inlineStr">
        <is>
          <t>A1600</t>
        </is>
      </c>
      <c r="C18" s="6" t="inlineStr">
        <is>
          <t>Design</t>
        </is>
      </c>
      <c r="D18" s="6" t="inlineStr">
        <is>
          <t>Detailed design / IFC development</t>
        </is>
      </c>
      <c r="E18" s="6" t="inlineStr">
        <is>
          <t>A1300</t>
        </is>
      </c>
      <c r="F18" s="9" t="n">
        <v>9</v>
      </c>
      <c r="G18" s="6" t="inlineStr">
        <is>
          <t>No</t>
        </is>
      </c>
      <c r="H18" s="6" t="inlineStr">
        <is>
          <t>Duration derived from sector schedule model, selected schedule level and scenario compression/buffer logic.</t>
        </is>
      </c>
    </row>
    <row r="19">
      <c r="A19" s="6" t="inlineStr">
        <is>
          <t>2</t>
        </is>
      </c>
      <c r="B19" s="6" t="inlineStr">
        <is>
          <t>A1700</t>
        </is>
      </c>
      <c r="C19" s="6" t="inlineStr">
        <is>
          <t>Procurement</t>
        </is>
      </c>
      <c r="D19" s="6" t="inlineStr">
        <is>
          <t>Long-lead procurement</t>
        </is>
      </c>
      <c r="E19" s="6" t="inlineStr">
        <is>
          <t>A1500</t>
        </is>
      </c>
      <c r="F19" s="9" t="n">
        <v>8</v>
      </c>
      <c r="G19" s="6" t="inlineStr">
        <is>
          <t>Yes</t>
        </is>
      </c>
      <c r="H19" s="6" t="inlineStr">
        <is>
          <t>Duration derived from sector schedule model, selected schedule level and scenario compression/buffer logic.</t>
        </is>
      </c>
    </row>
    <row r="20">
      <c r="A20" s="6" t="inlineStr">
        <is>
          <t>2</t>
        </is>
      </c>
      <c r="B20" s="6" t="inlineStr">
        <is>
          <t>A1800</t>
        </is>
      </c>
      <c r="C20" s="6" t="inlineStr">
        <is>
          <t>Enabling</t>
        </is>
      </c>
      <c r="D20" s="6" t="inlineStr">
        <is>
          <t>Site / launch integration readiness</t>
        </is>
      </c>
      <c r="E20" s="6" t="inlineStr">
        <is>
          <t>A1400;A1500</t>
        </is>
      </c>
      <c r="F20" s="9" t="n">
        <v>6</v>
      </c>
      <c r="G20" s="6" t="inlineStr">
        <is>
          <t>No</t>
        </is>
      </c>
      <c r="H20" s="6" t="inlineStr">
        <is>
          <t>Duration derived from sector schedule model, selected schedule level and scenario compression/buffer logic.</t>
        </is>
      </c>
    </row>
    <row r="21">
      <c r="A21" s="6" t="inlineStr">
        <is>
          <t>2</t>
        </is>
      </c>
      <c r="B21" s="6" t="inlineStr">
        <is>
          <t>A1900</t>
        </is>
      </c>
      <c r="C21" s="6" t="inlineStr">
        <is>
          <t>Delivery</t>
        </is>
      </c>
      <c r="D21" s="6" t="inlineStr">
        <is>
          <t>Main construction / fabrication / assembly</t>
        </is>
      </c>
      <c r="E21" s="6" t="inlineStr">
        <is>
          <t>A1600;A1700;A1800</t>
        </is>
      </c>
      <c r="F21" s="9" t="n">
        <v>20</v>
      </c>
      <c r="G21" s="6" t="inlineStr">
        <is>
          <t>Yes</t>
        </is>
      </c>
      <c r="H21" s="6" t="inlineStr">
        <is>
          <t>Duration derived from sector schedule model, selected schedule level and scenario compression/buffer logic.</t>
        </is>
      </c>
    </row>
    <row r="22">
      <c r="A22" s="6" t="inlineStr">
        <is>
          <t>2</t>
        </is>
      </c>
      <c r="B22" s="6" t="inlineStr">
        <is>
          <t>A2000</t>
        </is>
      </c>
      <c r="C22" s="6" t="inlineStr">
        <is>
          <t>Integration</t>
        </is>
      </c>
      <c r="D22" s="6" t="inlineStr">
        <is>
          <t>Systems integration and testing</t>
        </is>
      </c>
      <c r="E22" s="6" t="inlineStr">
        <is>
          <t>A1900</t>
        </is>
      </c>
      <c r="F22" s="9" t="n">
        <v>9</v>
      </c>
      <c r="G22" s="6" t="inlineStr">
        <is>
          <t>Yes</t>
        </is>
      </c>
      <c r="H22" s="6" t="inlineStr">
        <is>
          <t>Duration derived from sector schedule model, selected schedule level and scenario compression/buffer logic.</t>
        </is>
      </c>
    </row>
    <row r="23">
      <c r="A23" s="6" t="inlineStr">
        <is>
          <t>2</t>
        </is>
      </c>
      <c r="B23" s="6" t="inlineStr">
        <is>
          <t>A2100</t>
        </is>
      </c>
      <c r="C23" s="6" t="inlineStr">
        <is>
          <t>Handover</t>
        </is>
      </c>
      <c r="D23" s="6" t="inlineStr">
        <is>
          <t>Commissioning, operations readiness and closeout</t>
        </is>
      </c>
      <c r="E23" s="6" t="inlineStr">
        <is>
          <t>A2000</t>
        </is>
      </c>
      <c r="F23" s="9" t="n">
        <v>6</v>
      </c>
      <c r="G23" s="6" t="inlineStr">
        <is>
          <t>Yes</t>
        </is>
      </c>
      <c r="H23" s="6" t="inlineStr">
        <is>
          <t>Duration derived from sector schedule model, selected schedule level and scenario compression/buffer logic.</t>
        </is>
      </c>
    </row>
    <row r="24">
      <c r="A24" s="6" t="inlineStr">
        <is>
          <t>3</t>
        </is>
      </c>
      <c r="B24" s="6" t="inlineStr">
        <is>
          <t>A1000</t>
        </is>
      </c>
      <c r="C24" s="6" t="inlineStr">
        <is>
          <t>Governance</t>
        </is>
      </c>
      <c r="D24" s="6" t="inlineStr">
        <is>
          <t>Project initiation / controls setup</t>
        </is>
      </c>
      <c r="E24" s="6" t="n"/>
      <c r="F24" s="9" t="n">
        <v>3</v>
      </c>
      <c r="G24" s="6" t="inlineStr">
        <is>
          <t>No</t>
        </is>
      </c>
      <c r="H24" s="6" t="inlineStr">
        <is>
          <t>Duration derived from sector schedule model, selected schedule level and scenario compression/buffer logic.</t>
        </is>
      </c>
    </row>
    <row r="25">
      <c r="A25" s="6" t="inlineStr">
        <is>
          <t>3</t>
        </is>
      </c>
      <c r="B25" s="6" t="inlineStr">
        <is>
          <t>A1100</t>
        </is>
      </c>
      <c r="C25" s="6" t="inlineStr">
        <is>
          <t>Business Case</t>
        </is>
      </c>
      <c r="D25" s="6" t="inlineStr">
        <is>
          <t>Strategic brief, funding and approval</t>
        </is>
      </c>
      <c r="E25" s="6" t="inlineStr">
        <is>
          <t>A1000</t>
        </is>
      </c>
      <c r="F25" s="9" t="n">
        <v>5</v>
      </c>
      <c r="G25" s="6" t="inlineStr">
        <is>
          <t>No</t>
        </is>
      </c>
      <c r="H25" s="6" t="inlineStr">
        <is>
          <t>Duration derived from sector schedule model, selected schedule level and scenario compression/buffer logic.</t>
        </is>
      </c>
    </row>
    <row r="26">
      <c r="A26" s="6" t="inlineStr">
        <is>
          <t>3</t>
        </is>
      </c>
      <c r="B26" s="6" t="inlineStr">
        <is>
          <t>A1200</t>
        </is>
      </c>
      <c r="C26" s="6" t="inlineStr">
        <is>
          <t>Scope</t>
        </is>
      </c>
      <c r="D26" s="6" t="inlineStr">
        <is>
          <t>Requirements definition and scope freeze</t>
        </is>
      </c>
      <c r="E26" s="6" t="inlineStr">
        <is>
          <t>A1100</t>
        </is>
      </c>
      <c r="F26" s="9" t="n">
        <v>5</v>
      </c>
      <c r="G26" s="6" t="inlineStr">
        <is>
          <t>No</t>
        </is>
      </c>
      <c r="H26" s="6" t="inlineStr">
        <is>
          <t>Duration derived from sector schedule model, selected schedule level and scenario compression/buffer logic.</t>
        </is>
      </c>
    </row>
    <row r="27">
      <c r="A27" s="6" t="inlineStr">
        <is>
          <t>3</t>
        </is>
      </c>
      <c r="B27" s="6" t="inlineStr">
        <is>
          <t>A1300</t>
        </is>
      </c>
      <c r="C27" s="6" t="inlineStr">
        <is>
          <t>Design</t>
        </is>
      </c>
      <c r="D27" s="6" t="inlineStr">
        <is>
          <t>Concept / reference architecture</t>
        </is>
      </c>
      <c r="E27" s="6" t="inlineStr">
        <is>
          <t>A1200</t>
        </is>
      </c>
      <c r="F27" s="9" t="n">
        <v>7</v>
      </c>
      <c r="G27" s="6" t="inlineStr">
        <is>
          <t>No</t>
        </is>
      </c>
      <c r="H27" s="6" t="inlineStr">
        <is>
          <t>Duration derived from sector schedule model, selected schedule level and scenario compression/buffer logic.</t>
        </is>
      </c>
    </row>
    <row r="28">
      <c r="A28" s="6" t="inlineStr">
        <is>
          <t>3</t>
        </is>
      </c>
      <c r="B28" s="6" t="inlineStr">
        <is>
          <t>A1400</t>
        </is>
      </c>
      <c r="C28" s="6" t="inlineStr">
        <is>
          <t>Consents</t>
        </is>
      </c>
      <c r="D28" s="6" t="inlineStr">
        <is>
          <t>Planning, regulatory and stakeholder approvals</t>
        </is>
      </c>
      <c r="E28" s="6" t="inlineStr">
        <is>
          <t>A1200</t>
        </is>
      </c>
      <c r="F28" s="9" t="n">
        <v>8</v>
      </c>
      <c r="G28" s="6" t="inlineStr">
        <is>
          <t>Yes</t>
        </is>
      </c>
      <c r="H28" s="6" t="inlineStr">
        <is>
          <t>Duration derived from sector schedule model, selected schedule level and scenario compression/buffer logic.</t>
        </is>
      </c>
    </row>
    <row r="29">
      <c r="A29" s="6" t="inlineStr">
        <is>
          <t>3</t>
        </is>
      </c>
      <c r="B29" s="6" t="inlineStr">
        <is>
          <t>A1500</t>
        </is>
      </c>
      <c r="C29" s="6" t="inlineStr">
        <is>
          <t>Procurement</t>
        </is>
      </c>
      <c r="D29" s="6" t="inlineStr">
        <is>
          <t>Procurement strategy and tender packaging</t>
        </is>
      </c>
      <c r="E29" s="6" t="inlineStr">
        <is>
          <t>A1300</t>
        </is>
      </c>
      <c r="F29" s="9" t="n">
        <v>6</v>
      </c>
      <c r="G29" s="6" t="inlineStr">
        <is>
          <t>No</t>
        </is>
      </c>
      <c r="H29" s="6" t="inlineStr">
        <is>
          <t>Duration derived from sector schedule model, selected schedule level and scenario compression/buffer logic.</t>
        </is>
      </c>
    </row>
    <row r="30">
      <c r="A30" s="6" t="inlineStr">
        <is>
          <t>3</t>
        </is>
      </c>
      <c r="B30" s="6" t="inlineStr">
        <is>
          <t>A1600</t>
        </is>
      </c>
      <c r="C30" s="6" t="inlineStr">
        <is>
          <t>Design</t>
        </is>
      </c>
      <c r="D30" s="6" t="inlineStr">
        <is>
          <t>Detailed design / IFC development</t>
        </is>
      </c>
      <c r="E30" s="6" t="inlineStr">
        <is>
          <t>A1300</t>
        </is>
      </c>
      <c r="F30" s="9" t="n">
        <v>9</v>
      </c>
      <c r="G30" s="6" t="inlineStr">
        <is>
          <t>No</t>
        </is>
      </c>
      <c r="H30" s="6" t="inlineStr">
        <is>
          <t>Duration derived from sector schedule model, selected schedule level and scenario compression/buffer logic.</t>
        </is>
      </c>
    </row>
    <row r="31">
      <c r="A31" s="6" t="inlineStr">
        <is>
          <t>3</t>
        </is>
      </c>
      <c r="B31" s="6" t="inlineStr">
        <is>
          <t>A1700</t>
        </is>
      </c>
      <c r="C31" s="6" t="inlineStr">
        <is>
          <t>Procurement</t>
        </is>
      </c>
      <c r="D31" s="6" t="inlineStr">
        <is>
          <t>Long-lead procurement</t>
        </is>
      </c>
      <c r="E31" s="6" t="inlineStr">
        <is>
          <t>A1500</t>
        </is>
      </c>
      <c r="F31" s="9" t="n">
        <v>8</v>
      </c>
      <c r="G31" s="6" t="inlineStr">
        <is>
          <t>Yes</t>
        </is>
      </c>
      <c r="H31" s="6" t="inlineStr">
        <is>
          <t>Duration derived from sector schedule model, selected schedule level and scenario compression/buffer logic.</t>
        </is>
      </c>
    </row>
    <row r="32">
      <c r="A32" s="6" t="inlineStr">
        <is>
          <t>3</t>
        </is>
      </c>
      <c r="B32" s="6" t="inlineStr">
        <is>
          <t>A1800</t>
        </is>
      </c>
      <c r="C32" s="6" t="inlineStr">
        <is>
          <t>Enabling</t>
        </is>
      </c>
      <c r="D32" s="6" t="inlineStr">
        <is>
          <t>Site / launch integration readiness</t>
        </is>
      </c>
      <c r="E32" s="6" t="inlineStr">
        <is>
          <t>A1400;A1500</t>
        </is>
      </c>
      <c r="F32" s="9" t="n">
        <v>6</v>
      </c>
      <c r="G32" s="6" t="inlineStr">
        <is>
          <t>No</t>
        </is>
      </c>
      <c r="H32" s="6" t="inlineStr">
        <is>
          <t>Duration derived from sector schedule model, selected schedule level and scenario compression/buffer logic.</t>
        </is>
      </c>
    </row>
    <row r="33">
      <c r="A33" s="6" t="inlineStr">
        <is>
          <t>3</t>
        </is>
      </c>
      <c r="B33" s="6" t="inlineStr">
        <is>
          <t>A1900</t>
        </is>
      </c>
      <c r="C33" s="6" t="inlineStr">
        <is>
          <t>Delivery</t>
        </is>
      </c>
      <c r="D33" s="6" t="inlineStr">
        <is>
          <t>Main construction / fabrication / assembly</t>
        </is>
      </c>
      <c r="E33" s="6" t="inlineStr">
        <is>
          <t>A1600;A1700;A1800</t>
        </is>
      </c>
      <c r="F33" s="9" t="n">
        <v>20</v>
      </c>
      <c r="G33" s="6" t="inlineStr">
        <is>
          <t>Yes</t>
        </is>
      </c>
      <c r="H33" s="6" t="inlineStr">
        <is>
          <t>Duration derived from sector schedule model, selected schedule level and scenario compression/buffer logic.</t>
        </is>
      </c>
    </row>
    <row r="34">
      <c r="A34" s="6" t="inlineStr">
        <is>
          <t>3</t>
        </is>
      </c>
      <c r="B34" s="6" t="inlineStr">
        <is>
          <t>A2000</t>
        </is>
      </c>
      <c r="C34" s="6" t="inlineStr">
        <is>
          <t>Integration</t>
        </is>
      </c>
      <c r="D34" s="6" t="inlineStr">
        <is>
          <t>Systems integration and testing</t>
        </is>
      </c>
      <c r="E34" s="6" t="inlineStr">
        <is>
          <t>A1900</t>
        </is>
      </c>
      <c r="F34" s="9" t="n">
        <v>9</v>
      </c>
      <c r="G34" s="6" t="inlineStr">
        <is>
          <t>Yes</t>
        </is>
      </c>
      <c r="H34" s="6" t="inlineStr">
        <is>
          <t>Duration derived from sector schedule model, selected schedule level and scenario compression/buffer logic.</t>
        </is>
      </c>
    </row>
    <row r="35">
      <c r="A35" s="6" t="inlineStr">
        <is>
          <t>3</t>
        </is>
      </c>
      <c r="B35" s="6" t="inlineStr">
        <is>
          <t>A2100</t>
        </is>
      </c>
      <c r="C35" s="6" t="inlineStr">
        <is>
          <t>Handover</t>
        </is>
      </c>
      <c r="D35" s="6" t="inlineStr">
        <is>
          <t>Commissioning, operations readiness and closeout</t>
        </is>
      </c>
      <c r="E35" s="6" t="inlineStr">
        <is>
          <t>A2000</t>
        </is>
      </c>
      <c r="F35" s="9" t="n">
        <v>6</v>
      </c>
      <c r="G35" s="6" t="inlineStr">
        <is>
          <t>Yes</t>
        </is>
      </c>
      <c r="H35" s="6" t="inlineStr">
        <is>
          <t>Duration derived from sector schedule model, selected schedule level and scenario compression/buffer logic.</t>
        </is>
      </c>
    </row>
    <row r="36">
      <c r="A36" s="6" t="inlineStr">
        <is>
          <t>4</t>
        </is>
      </c>
      <c r="B36" s="6" t="inlineStr">
        <is>
          <t>A1000</t>
        </is>
      </c>
      <c r="C36" s="6" t="inlineStr">
        <is>
          <t>Governance</t>
        </is>
      </c>
      <c r="D36" s="6" t="inlineStr">
        <is>
          <t>Project initiation / controls setup</t>
        </is>
      </c>
      <c r="E36" s="6" t="n"/>
      <c r="F36" s="9" t="n">
        <v>3</v>
      </c>
      <c r="G36" s="6" t="inlineStr">
        <is>
          <t>No</t>
        </is>
      </c>
      <c r="H36" s="6" t="inlineStr">
        <is>
          <t>Duration derived from sector schedule model, duration reflects cleanroom readiness, UPW/gas commissioning, process-tool delivery, hook-up and yield-ramp qualification..</t>
        </is>
      </c>
    </row>
    <row r="37">
      <c r="A37" s="6" t="inlineStr">
        <is>
          <t>4</t>
        </is>
      </c>
      <c r="B37" s="6" t="inlineStr">
        <is>
          <t>A1100</t>
        </is>
      </c>
      <c r="C37" s="6" t="inlineStr">
        <is>
          <t>Business Case</t>
        </is>
      </c>
      <c r="D37" s="6" t="inlineStr">
        <is>
          <t>Strategic brief, funding and approval</t>
        </is>
      </c>
      <c r="E37" s="6" t="inlineStr">
        <is>
          <t>A1000</t>
        </is>
      </c>
      <c r="F37" s="9" t="n">
        <v>5</v>
      </c>
      <c r="G37" s="6" t="inlineStr">
        <is>
          <t>No</t>
        </is>
      </c>
      <c r="H37" s="6" t="inlineStr">
        <is>
          <t>Duration derived from sector schedule model, duration reflects cleanroom readiness, UPW/gas commissioning, process-tool delivery, hook-up and yield-ramp qualification..</t>
        </is>
      </c>
    </row>
    <row r="38">
      <c r="A38" s="6" t="inlineStr">
        <is>
          <t>4</t>
        </is>
      </c>
      <c r="B38" s="6" t="inlineStr">
        <is>
          <t>A1200</t>
        </is>
      </c>
      <c r="C38" s="6" t="inlineStr">
        <is>
          <t>Scope</t>
        </is>
      </c>
      <c r="D38" s="6" t="inlineStr">
        <is>
          <t>Requirements definition and scope freeze</t>
        </is>
      </c>
      <c r="E38" s="6" t="inlineStr">
        <is>
          <t>A1100</t>
        </is>
      </c>
      <c r="F38" s="9" t="n">
        <v>5</v>
      </c>
      <c r="G38" s="6" t="inlineStr">
        <is>
          <t>No</t>
        </is>
      </c>
      <c r="H38" s="6" t="inlineStr">
        <is>
          <t>Duration derived from sector schedule model, duration reflects cleanroom readiness, UPW/gas commissioning, process-tool delivery, hook-up and yield-ramp qualification..</t>
        </is>
      </c>
    </row>
    <row r="39">
      <c r="A39" s="6" t="inlineStr">
        <is>
          <t>4</t>
        </is>
      </c>
      <c r="B39" s="6" t="inlineStr">
        <is>
          <t>A1300</t>
        </is>
      </c>
      <c r="C39" s="6" t="inlineStr">
        <is>
          <t>Design</t>
        </is>
      </c>
      <c r="D39" s="6" t="inlineStr">
        <is>
          <t>Concept / reference architecture</t>
        </is>
      </c>
      <c r="E39" s="6" t="inlineStr">
        <is>
          <t>A1200</t>
        </is>
      </c>
      <c r="F39" s="9" t="n">
        <v>7</v>
      </c>
      <c r="G39" s="6" t="inlineStr">
        <is>
          <t>No</t>
        </is>
      </c>
      <c r="H39" s="6" t="inlineStr">
        <is>
          <t>Duration derived from sector schedule model, duration reflects cleanroom readiness, UPW/gas commissioning, process-tool delivery, hook-up and yield-ramp qualification..</t>
        </is>
      </c>
    </row>
    <row r="40">
      <c r="A40" s="6" t="inlineStr">
        <is>
          <t>4</t>
        </is>
      </c>
      <c r="B40" s="6" t="inlineStr">
        <is>
          <t>A1400</t>
        </is>
      </c>
      <c r="C40" s="6" t="inlineStr">
        <is>
          <t>Consents</t>
        </is>
      </c>
      <c r="D40" s="6" t="inlineStr">
        <is>
          <t>Planning, regulatory and stakeholder approvals</t>
        </is>
      </c>
      <c r="E40" s="6" t="inlineStr">
        <is>
          <t>A1200</t>
        </is>
      </c>
      <c r="F40" s="9" t="n">
        <v>8</v>
      </c>
      <c r="G40" s="6" t="inlineStr">
        <is>
          <t>Yes</t>
        </is>
      </c>
      <c r="H40" s="6" t="inlineStr">
        <is>
          <t>Duration derived from sector schedule model, duration reflects cleanroom readiness, UPW/gas commissioning, process-tool delivery, hook-up and yield-ramp qualification..</t>
        </is>
      </c>
    </row>
    <row r="41">
      <c r="A41" s="6" t="inlineStr">
        <is>
          <t>4</t>
        </is>
      </c>
      <c r="B41" s="6" t="inlineStr">
        <is>
          <t>A1500</t>
        </is>
      </c>
      <c r="C41" s="6" t="inlineStr">
        <is>
          <t>Procurement</t>
        </is>
      </c>
      <c r="D41" s="6" t="inlineStr">
        <is>
          <t>Procurement strategy and tender packaging</t>
        </is>
      </c>
      <c r="E41" s="6" t="inlineStr">
        <is>
          <t>A1300</t>
        </is>
      </c>
      <c r="F41" s="9" t="n">
        <v>6</v>
      </c>
      <c r="G41" s="6" t="inlineStr">
        <is>
          <t>No</t>
        </is>
      </c>
      <c r="H41" s="6" t="inlineStr">
        <is>
          <t>Duration derived from sector schedule model, duration reflects cleanroom readiness, UPW/gas commissioning, process-tool delivery, hook-up and yield-ramp qualification..</t>
        </is>
      </c>
    </row>
    <row r="42">
      <c r="A42" s="6" t="inlineStr">
        <is>
          <t>4</t>
        </is>
      </c>
      <c r="B42" s="6" t="inlineStr">
        <is>
          <t>A1600</t>
        </is>
      </c>
      <c r="C42" s="6" t="inlineStr">
        <is>
          <t>Design</t>
        </is>
      </c>
      <c r="D42" s="6" t="inlineStr">
        <is>
          <t>Detailed design / IFC development</t>
        </is>
      </c>
      <c r="E42" s="6" t="inlineStr">
        <is>
          <t>A1300</t>
        </is>
      </c>
      <c r="F42" s="9" t="n">
        <v>9</v>
      </c>
      <c r="G42" s="6" t="inlineStr">
        <is>
          <t>No</t>
        </is>
      </c>
      <c r="H42" s="6" t="inlineStr">
        <is>
          <t>Duration derived from sector schedule model, duration reflects cleanroom readiness, UPW/gas commissioning, process-tool delivery, hook-up and yield-ramp qualification..</t>
        </is>
      </c>
    </row>
    <row r="43">
      <c r="A43" s="6" t="inlineStr">
        <is>
          <t>4</t>
        </is>
      </c>
      <c r="B43" s="6" t="inlineStr">
        <is>
          <t>A1700</t>
        </is>
      </c>
      <c r="C43" s="6" t="inlineStr">
        <is>
          <t>Procurement</t>
        </is>
      </c>
      <c r="D43" s="6" t="inlineStr">
        <is>
          <t>Long-lead procurement</t>
        </is>
      </c>
      <c r="E43" s="6" t="inlineStr">
        <is>
          <t>A1500</t>
        </is>
      </c>
      <c r="F43" s="9" t="n">
        <v>8</v>
      </c>
      <c r="G43" s="6" t="inlineStr">
        <is>
          <t>Yes</t>
        </is>
      </c>
      <c r="H43" s="6" t="inlineStr">
        <is>
          <t>Duration derived from sector schedule model, duration reflects cleanroom readiness, UPW/gas commissioning, process-tool delivery, hook-up and yield-ramp qualification..</t>
        </is>
      </c>
    </row>
    <row r="44">
      <c r="A44" s="6" t="inlineStr">
        <is>
          <t>4</t>
        </is>
      </c>
      <c r="B44" s="6" t="inlineStr">
        <is>
          <t>A1800</t>
        </is>
      </c>
      <c r="C44" s="6" t="inlineStr">
        <is>
          <t>Enabling</t>
        </is>
      </c>
      <c r="D44" s="6" t="inlineStr">
        <is>
          <t>Site / launch integration readiness</t>
        </is>
      </c>
      <c r="E44" s="6" t="inlineStr">
        <is>
          <t>A1400;A1500</t>
        </is>
      </c>
      <c r="F44" s="9" t="n">
        <v>6</v>
      </c>
      <c r="G44" s="6" t="inlineStr">
        <is>
          <t>No</t>
        </is>
      </c>
      <c r="H44" s="6" t="inlineStr">
        <is>
          <t>Duration derived from sector schedule model, duration reflects cleanroom readiness, UPW/gas commissioning, process-tool delivery, hook-up and yield-ramp qualification..</t>
        </is>
      </c>
    </row>
    <row r="45">
      <c r="A45" s="6" t="inlineStr">
        <is>
          <t>4</t>
        </is>
      </c>
      <c r="B45" s="6" t="inlineStr">
        <is>
          <t>A1900</t>
        </is>
      </c>
      <c r="C45" s="6" t="inlineStr">
        <is>
          <t>Delivery</t>
        </is>
      </c>
      <c r="D45" s="6" t="inlineStr">
        <is>
          <t>Main construction / fabrication / assembly</t>
        </is>
      </c>
      <c r="E45" s="6" t="inlineStr">
        <is>
          <t>A1600;A1700;A1800</t>
        </is>
      </c>
      <c r="F45" s="9" t="n">
        <v>20</v>
      </c>
      <c r="G45" s="6" t="inlineStr">
        <is>
          <t>Yes</t>
        </is>
      </c>
      <c r="H45" s="6" t="inlineStr">
        <is>
          <t>Duration derived from sector schedule model, duration reflects cleanroom readiness, UPW/gas commissioning, process-tool delivery, hook-up and yield-ramp qualification..</t>
        </is>
      </c>
    </row>
    <row r="46">
      <c r="A46" s="6" t="inlineStr">
        <is>
          <t>4</t>
        </is>
      </c>
      <c r="B46" s="6" t="inlineStr">
        <is>
          <t>A2000</t>
        </is>
      </c>
      <c r="C46" s="6" t="inlineStr">
        <is>
          <t>Integration</t>
        </is>
      </c>
      <c r="D46" s="6" t="inlineStr">
        <is>
          <t>Systems integration and testing</t>
        </is>
      </c>
      <c r="E46" s="6" t="inlineStr">
        <is>
          <t>A1900</t>
        </is>
      </c>
      <c r="F46" s="9" t="n">
        <v>9</v>
      </c>
      <c r="G46" s="6" t="inlineStr">
        <is>
          <t>Yes</t>
        </is>
      </c>
      <c r="H46" s="6" t="inlineStr">
        <is>
          <t>Duration derived from sector schedule model, duration reflects cleanroom readiness, UPW/gas commissioning, process-tool delivery, hook-up and yield-ramp qualification..</t>
        </is>
      </c>
    </row>
    <row r="47">
      <c r="A47" s="6" t="inlineStr">
        <is>
          <t>4</t>
        </is>
      </c>
      <c r="B47" s="6" t="inlineStr">
        <is>
          <t>A2100</t>
        </is>
      </c>
      <c r="C47" s="6" t="inlineStr">
        <is>
          <t>Handover</t>
        </is>
      </c>
      <c r="D47" s="6" t="inlineStr">
        <is>
          <t>Commissioning, operations readiness and closeout</t>
        </is>
      </c>
      <c r="E47" s="6" t="inlineStr">
        <is>
          <t>A2000</t>
        </is>
      </c>
      <c r="F47" s="9" t="n">
        <v>6</v>
      </c>
      <c r="G47" s="6" t="inlineStr">
        <is>
          <t>Yes</t>
        </is>
      </c>
      <c r="H47" s="6" t="inlineStr">
        <is>
          <t>Duration derived from sector schedule model, duration reflects cleanroom readiness, UPW/gas commissioning, process-tool delivery, hook-up and yield-ramp qualification..</t>
        </is>
      </c>
    </row>
    <row r="48">
      <c r="A48" s="6" t="inlineStr">
        <is>
          <t>4</t>
        </is>
      </c>
      <c r="B48" s="6" t="inlineStr">
        <is>
          <t>P1000</t>
        </is>
      </c>
      <c r="C48" s="6" t="inlineStr">
        <is>
          <t>Package</t>
        </is>
      </c>
      <c r="D48" s="6" t="inlineStr">
        <is>
          <t>Civil / structural package</t>
        </is>
      </c>
      <c r="E48" s="6" t="inlineStr">
        <is>
          <t>A1900</t>
        </is>
      </c>
      <c r="F48" s="9" t="n">
        <v>3</v>
      </c>
      <c r="G48" s="6" t="inlineStr">
        <is>
          <t>Yes</t>
        </is>
      </c>
      <c r="H48" s="6" t="inlineStr">
        <is>
          <t>Duration derived from sector schedule model, duration reflects cleanroom readiness, UPW/gas commissioning, process-tool delivery, hook-up and yield-ramp qualification..</t>
        </is>
      </c>
    </row>
    <row r="49">
      <c r="A49" s="6" t="inlineStr">
        <is>
          <t>4</t>
        </is>
      </c>
      <c r="B49" s="6" t="inlineStr">
        <is>
          <t>P2000</t>
        </is>
      </c>
      <c r="C49" s="6" t="inlineStr">
        <is>
          <t>Package</t>
        </is>
      </c>
      <c r="D49" s="6" t="inlineStr">
        <is>
          <t>MEP / systems package</t>
        </is>
      </c>
      <c r="E49" s="6" t="inlineStr">
        <is>
          <t>P1000</t>
        </is>
      </c>
      <c r="F49" s="9" t="n">
        <v>3</v>
      </c>
      <c r="G49" s="6" t="inlineStr">
        <is>
          <t>Yes</t>
        </is>
      </c>
      <c r="H49" s="6" t="inlineStr">
        <is>
          <t>Duration derived from sector schedule model, duration reflects cleanroom readiness, UPW/gas commissioning, process-tool delivery, hook-up and yield-ramp qualification..</t>
        </is>
      </c>
    </row>
    <row r="50">
      <c r="A50" s="6" t="inlineStr">
        <is>
          <t>4</t>
        </is>
      </c>
      <c r="B50" s="6" t="inlineStr">
        <is>
          <t>P3000</t>
        </is>
      </c>
      <c r="C50" s="6" t="inlineStr">
        <is>
          <t>Package</t>
        </is>
      </c>
      <c r="D50" s="6" t="inlineStr">
        <is>
          <t>Specialist equipment package</t>
        </is>
      </c>
      <c r="E50" s="6" t="inlineStr">
        <is>
          <t>P2000</t>
        </is>
      </c>
      <c r="F50" s="9" t="n">
        <v>3</v>
      </c>
      <c r="G50" s="6" t="inlineStr">
        <is>
          <t>Yes</t>
        </is>
      </c>
      <c r="H50" s="6" t="inlineStr">
        <is>
          <t>Duration derived from sector schedule model, duration reflects cleanroom readiness, UPW/gas commissioning, process-tool delivery, hook-up and yield-ramp qualification..</t>
        </is>
      </c>
    </row>
    <row r="51">
      <c r="A51" s="6" t="inlineStr">
        <is>
          <t>4</t>
        </is>
      </c>
      <c r="B51" s="6" t="inlineStr">
        <is>
          <t>P4000</t>
        </is>
      </c>
      <c r="C51" s="6" t="inlineStr">
        <is>
          <t>Package</t>
        </is>
      </c>
      <c r="D51" s="6" t="inlineStr">
        <is>
          <t>Utilities / interfaces package</t>
        </is>
      </c>
      <c r="E51" s="6" t="inlineStr">
        <is>
          <t>P3000</t>
        </is>
      </c>
      <c r="F51" s="9" t="n">
        <v>3</v>
      </c>
      <c r="G51" s="6" t="inlineStr">
        <is>
          <t>Yes</t>
        </is>
      </c>
      <c r="H51" s="6" t="inlineStr">
        <is>
          <t>Duration derived from sector schedule model, duration reflects cleanroom readiness, UPW/gas commissioning, process-tool delivery, hook-up and yield-ramp qualification..</t>
        </is>
      </c>
    </row>
    <row r="52">
      <c r="A52" s="6" t="inlineStr">
        <is>
          <t>4</t>
        </is>
      </c>
      <c r="B52" s="6" t="inlineStr">
        <is>
          <t>P5000</t>
        </is>
      </c>
      <c r="C52" s="6" t="inlineStr">
        <is>
          <t>Package</t>
        </is>
      </c>
      <c r="D52" s="6" t="inlineStr">
        <is>
          <t>Testing and commissioning package</t>
        </is>
      </c>
      <c r="E52" s="6" t="inlineStr">
        <is>
          <t>P4000</t>
        </is>
      </c>
      <c r="F52" s="9" t="n">
        <v>3</v>
      </c>
      <c r="G52" s="6" t="inlineStr">
        <is>
          <t>Yes</t>
        </is>
      </c>
      <c r="H52" s="6" t="inlineStr">
        <is>
          <t>Duration derived from sector schedule model, duration reflects cleanroom readiness, UPW/gas commissioning, process-tool delivery, hook-up and yield-ramp qualification..</t>
        </is>
      </c>
    </row>
    <row r="53">
      <c r="A53" s="6" t="inlineStr">
        <is>
          <t>5</t>
        </is>
      </c>
      <c r="B53" s="6" t="inlineStr">
        <is>
          <t>A1000</t>
        </is>
      </c>
      <c r="C53" s="6" t="inlineStr">
        <is>
          <t>Governance</t>
        </is>
      </c>
      <c r="D53" s="6" t="inlineStr">
        <is>
          <t>Project initiation / controls setup</t>
        </is>
      </c>
      <c r="E53" s="6" t="n"/>
      <c r="F53" s="9" t="n">
        <v>3</v>
      </c>
      <c r="G53" s="6" t="inlineStr">
        <is>
          <t>No</t>
        </is>
      </c>
      <c r="H53" s="6" t="inlineStr">
        <is>
          <t>Duration derived from sector schedule model, selected schedule level and scenario compression/buffer logic.</t>
        </is>
      </c>
    </row>
    <row r="54">
      <c r="A54" s="6" t="inlineStr">
        <is>
          <t>5</t>
        </is>
      </c>
      <c r="B54" s="6" t="inlineStr">
        <is>
          <t>A1100</t>
        </is>
      </c>
      <c r="C54" s="6" t="inlineStr">
        <is>
          <t>Business Case</t>
        </is>
      </c>
      <c r="D54" s="6" t="inlineStr">
        <is>
          <t>Strategic brief, funding and approval</t>
        </is>
      </c>
      <c r="E54" s="6" t="inlineStr">
        <is>
          <t>A1000</t>
        </is>
      </c>
      <c r="F54" s="9" t="n">
        <v>5</v>
      </c>
      <c r="G54" s="6" t="inlineStr">
        <is>
          <t>No</t>
        </is>
      </c>
      <c r="H54" s="6" t="inlineStr">
        <is>
          <t>Duration derived from sector schedule model, selected schedule level and scenario compression/buffer logic.</t>
        </is>
      </c>
    </row>
    <row r="55">
      <c r="A55" s="6" t="inlineStr">
        <is>
          <t>5</t>
        </is>
      </c>
      <c r="B55" s="6" t="inlineStr">
        <is>
          <t>A1200</t>
        </is>
      </c>
      <c r="C55" s="6" t="inlineStr">
        <is>
          <t>Scope</t>
        </is>
      </c>
      <c r="D55" s="6" t="inlineStr">
        <is>
          <t>Requirements definition and scope freeze</t>
        </is>
      </c>
      <c r="E55" s="6" t="inlineStr">
        <is>
          <t>A1100</t>
        </is>
      </c>
      <c r="F55" s="9" t="n">
        <v>5</v>
      </c>
      <c r="G55" s="6" t="inlineStr">
        <is>
          <t>No</t>
        </is>
      </c>
      <c r="H55" s="6" t="inlineStr">
        <is>
          <t>Duration derived from sector schedule model, selected schedule level and scenario compression/buffer logic.</t>
        </is>
      </c>
    </row>
    <row r="56">
      <c r="A56" s="6" t="inlineStr">
        <is>
          <t>5</t>
        </is>
      </c>
      <c r="B56" s="6" t="inlineStr">
        <is>
          <t>A1300</t>
        </is>
      </c>
      <c r="C56" s="6" t="inlineStr">
        <is>
          <t>Design</t>
        </is>
      </c>
      <c r="D56" s="6" t="inlineStr">
        <is>
          <t>Concept / reference architecture</t>
        </is>
      </c>
      <c r="E56" s="6" t="inlineStr">
        <is>
          <t>A1200</t>
        </is>
      </c>
      <c r="F56" s="9" t="n">
        <v>7</v>
      </c>
      <c r="G56" s="6" t="inlineStr">
        <is>
          <t>No</t>
        </is>
      </c>
      <c r="H56" s="6" t="inlineStr">
        <is>
          <t>Duration derived from sector schedule model, selected schedule level and scenario compression/buffer logic.</t>
        </is>
      </c>
    </row>
    <row r="57">
      <c r="A57" s="6" t="inlineStr">
        <is>
          <t>5</t>
        </is>
      </c>
      <c r="B57" s="6" t="inlineStr">
        <is>
          <t>A1400</t>
        </is>
      </c>
      <c r="C57" s="6" t="inlineStr">
        <is>
          <t>Consents</t>
        </is>
      </c>
      <c r="D57" s="6" t="inlineStr">
        <is>
          <t>Planning, regulatory and stakeholder approvals</t>
        </is>
      </c>
      <c r="E57" s="6" t="inlineStr">
        <is>
          <t>A1200</t>
        </is>
      </c>
      <c r="F57" s="9" t="n">
        <v>8</v>
      </c>
      <c r="G57" s="6" t="inlineStr">
        <is>
          <t>Yes</t>
        </is>
      </c>
      <c r="H57" s="6" t="inlineStr">
        <is>
          <t>Duration derived from sector schedule model, selected schedule level and scenario compression/buffer logic.</t>
        </is>
      </c>
    </row>
    <row r="58">
      <c r="A58" s="6" t="inlineStr">
        <is>
          <t>5</t>
        </is>
      </c>
      <c r="B58" s="6" t="inlineStr">
        <is>
          <t>A1500</t>
        </is>
      </c>
      <c r="C58" s="6" t="inlineStr">
        <is>
          <t>Procurement</t>
        </is>
      </c>
      <c r="D58" s="6" t="inlineStr">
        <is>
          <t>Procurement strategy and tender packaging</t>
        </is>
      </c>
      <c r="E58" s="6" t="inlineStr">
        <is>
          <t>A1300</t>
        </is>
      </c>
      <c r="F58" s="9" t="n">
        <v>6</v>
      </c>
      <c r="G58" s="6" t="inlineStr">
        <is>
          <t>No</t>
        </is>
      </c>
      <c r="H58" s="6" t="inlineStr">
        <is>
          <t>Duration derived from sector schedule model, selected schedule level and scenario compression/buffer logic.</t>
        </is>
      </c>
    </row>
    <row r="59">
      <c r="A59" s="6" t="inlineStr">
        <is>
          <t>5</t>
        </is>
      </c>
      <c r="B59" s="6" t="inlineStr">
        <is>
          <t>A1600</t>
        </is>
      </c>
      <c r="C59" s="6" t="inlineStr">
        <is>
          <t>Design</t>
        </is>
      </c>
      <c r="D59" s="6" t="inlineStr">
        <is>
          <t>Detailed design / IFC development</t>
        </is>
      </c>
      <c r="E59" s="6" t="inlineStr">
        <is>
          <t>A1300</t>
        </is>
      </c>
      <c r="F59" s="9" t="n">
        <v>9</v>
      </c>
      <c r="G59" s="6" t="inlineStr">
        <is>
          <t>No</t>
        </is>
      </c>
      <c r="H59" s="6" t="inlineStr">
        <is>
          <t>Duration derived from sector schedule model, selected schedule level and scenario compression/buffer logic.</t>
        </is>
      </c>
    </row>
    <row r="60">
      <c r="A60" s="6" t="inlineStr">
        <is>
          <t>5</t>
        </is>
      </c>
      <c r="B60" s="6" t="inlineStr">
        <is>
          <t>A1700</t>
        </is>
      </c>
      <c r="C60" s="6" t="inlineStr">
        <is>
          <t>Procurement</t>
        </is>
      </c>
      <c r="D60" s="6" t="inlineStr">
        <is>
          <t>Long-lead procurement</t>
        </is>
      </c>
      <c r="E60" s="6" t="inlineStr">
        <is>
          <t>A1500</t>
        </is>
      </c>
      <c r="F60" s="9" t="n">
        <v>8</v>
      </c>
      <c r="G60" s="6" t="inlineStr">
        <is>
          <t>Yes</t>
        </is>
      </c>
      <c r="H60" s="6" t="inlineStr">
        <is>
          <t>Duration derived from sector schedule model, selected schedule level and scenario compression/buffer logic.</t>
        </is>
      </c>
    </row>
    <row r="61">
      <c r="A61" s="6" t="inlineStr">
        <is>
          <t>5</t>
        </is>
      </c>
      <c r="B61" s="6" t="inlineStr">
        <is>
          <t>A1800</t>
        </is>
      </c>
      <c r="C61" s="6" t="inlineStr">
        <is>
          <t>Enabling</t>
        </is>
      </c>
      <c r="D61" s="6" t="inlineStr">
        <is>
          <t>Site / launch integration readiness</t>
        </is>
      </c>
      <c r="E61" s="6" t="inlineStr">
        <is>
          <t>A1400;A1500</t>
        </is>
      </c>
      <c r="F61" s="9" t="n">
        <v>6</v>
      </c>
      <c r="G61" s="6" t="inlineStr">
        <is>
          <t>No</t>
        </is>
      </c>
      <c r="H61" s="6" t="inlineStr">
        <is>
          <t>Duration derived from sector schedule model, selected schedule level and scenario compression/buffer logic.</t>
        </is>
      </c>
    </row>
    <row r="62">
      <c r="A62" s="6" t="inlineStr">
        <is>
          <t>5</t>
        </is>
      </c>
      <c r="B62" s="6" t="inlineStr">
        <is>
          <t>A1900</t>
        </is>
      </c>
      <c r="C62" s="6" t="inlineStr">
        <is>
          <t>Delivery</t>
        </is>
      </c>
      <c r="D62" s="6" t="inlineStr">
        <is>
          <t>Main construction / fabrication / assembly</t>
        </is>
      </c>
      <c r="E62" s="6" t="inlineStr">
        <is>
          <t>A1600;A1700;A1800</t>
        </is>
      </c>
      <c r="F62" s="9" t="n">
        <v>20</v>
      </c>
      <c r="G62" s="6" t="inlineStr">
        <is>
          <t>Yes</t>
        </is>
      </c>
      <c r="H62" s="6" t="inlineStr">
        <is>
          <t>Duration derived from sector schedule model, selected schedule level and scenario compression/buffer logic.</t>
        </is>
      </c>
    </row>
    <row r="63">
      <c r="A63" s="6" t="inlineStr">
        <is>
          <t>5</t>
        </is>
      </c>
      <c r="B63" s="6" t="inlineStr">
        <is>
          <t>A2000</t>
        </is>
      </c>
      <c r="C63" s="6" t="inlineStr">
        <is>
          <t>Integration</t>
        </is>
      </c>
      <c r="D63" s="6" t="inlineStr">
        <is>
          <t>Systems integration and testing</t>
        </is>
      </c>
      <c r="E63" s="6" t="inlineStr">
        <is>
          <t>A1900</t>
        </is>
      </c>
      <c r="F63" s="9" t="n">
        <v>9</v>
      </c>
      <c r="G63" s="6" t="inlineStr">
        <is>
          <t>Yes</t>
        </is>
      </c>
      <c r="H63" s="6" t="inlineStr">
        <is>
          <t>Duration derived from sector schedule model, selected schedule level and scenario compression/buffer logic.</t>
        </is>
      </c>
    </row>
    <row r="64">
      <c r="A64" s="6" t="inlineStr">
        <is>
          <t>5</t>
        </is>
      </c>
      <c r="B64" s="6" t="inlineStr">
        <is>
          <t>A2100</t>
        </is>
      </c>
      <c r="C64" s="6" t="inlineStr">
        <is>
          <t>Handover</t>
        </is>
      </c>
      <c r="D64" s="6" t="inlineStr">
        <is>
          <t>Commissioning, operations readiness and closeout</t>
        </is>
      </c>
      <c r="E64" s="6" t="inlineStr">
        <is>
          <t>A2000</t>
        </is>
      </c>
      <c r="F64" s="9" t="n">
        <v>6</v>
      </c>
      <c r="G64" s="6" t="inlineStr">
        <is>
          <t>Yes</t>
        </is>
      </c>
      <c r="H64" s="6" t="inlineStr">
        <is>
          <t>Duration derived from sector schedule model, selected schedule level and scenario compression/buffer logic.</t>
        </is>
      </c>
    </row>
    <row r="65">
      <c r="A65" s="6" t="inlineStr">
        <is>
          <t>5</t>
        </is>
      </c>
      <c r="B65" s="6" t="inlineStr">
        <is>
          <t>P1000</t>
        </is>
      </c>
      <c r="C65" s="6" t="inlineStr">
        <is>
          <t>Package</t>
        </is>
      </c>
      <c r="D65" s="6" t="inlineStr">
        <is>
          <t>Civil / structural package</t>
        </is>
      </c>
      <c r="E65" s="6" t="inlineStr">
        <is>
          <t>A1900</t>
        </is>
      </c>
      <c r="F65" s="9" t="n">
        <v>3</v>
      </c>
      <c r="G65" s="6" t="inlineStr">
        <is>
          <t>Yes</t>
        </is>
      </c>
      <c r="H65" s="6" t="inlineStr">
        <is>
          <t>Duration derived from sector schedule model, selected schedule level and scenario compression/buffer logic.</t>
        </is>
      </c>
    </row>
    <row r="66">
      <c r="A66" s="6" t="inlineStr">
        <is>
          <t>5</t>
        </is>
      </c>
      <c r="B66" s="6" t="inlineStr">
        <is>
          <t>P1100</t>
        </is>
      </c>
      <c r="C66" s="6" t="inlineStr">
        <is>
          <t>Activity</t>
        </is>
      </c>
      <c r="D66" s="6" t="inlineStr">
        <is>
          <t>Civil / structural package - mobilise / method</t>
        </is>
      </c>
      <c r="E66" s="6" t="inlineStr">
        <is>
          <t>A1900</t>
        </is>
      </c>
      <c r="F66" s="9" t="n">
        <v>1</v>
      </c>
      <c r="G66" s="6" t="inlineStr">
        <is>
          <t>Yes</t>
        </is>
      </c>
      <c r="H66" s="6" t="inlineStr">
        <is>
          <t>Duration derived from sector schedule model, selected schedule level and scenario compression/buffer logic.</t>
        </is>
      </c>
    </row>
    <row r="67">
      <c r="A67" s="6" t="inlineStr">
        <is>
          <t>5</t>
        </is>
      </c>
      <c r="B67" s="6" t="inlineStr">
        <is>
          <t>P1200</t>
        </is>
      </c>
      <c r="C67" s="6" t="inlineStr">
        <is>
          <t>Activity</t>
        </is>
      </c>
      <c r="D67" s="6" t="inlineStr">
        <is>
          <t>Civil / structural package - execute works</t>
        </is>
      </c>
      <c r="E67" s="6" t="inlineStr">
        <is>
          <t>P1100</t>
        </is>
      </c>
      <c r="F67" s="9" t="n">
        <v>2</v>
      </c>
      <c r="G67" s="6" t="inlineStr">
        <is>
          <t>Yes</t>
        </is>
      </c>
      <c r="H67" s="6" t="inlineStr">
        <is>
          <t>Duration derived from sector schedule model, selected schedule level and scenario compression/buffer logic.</t>
        </is>
      </c>
    </row>
    <row r="68">
      <c r="A68" s="6" t="inlineStr">
        <is>
          <t>5</t>
        </is>
      </c>
      <c r="B68" s="6" t="inlineStr">
        <is>
          <t>P1300</t>
        </is>
      </c>
      <c r="C68" s="6" t="inlineStr">
        <is>
          <t>Activity</t>
        </is>
      </c>
      <c r="D68" s="6" t="inlineStr">
        <is>
          <t>Civil / structural package - inspect / closeout</t>
        </is>
      </c>
      <c r="E68" s="6" t="inlineStr">
        <is>
          <t>P1200</t>
        </is>
      </c>
      <c r="F68" s="9" t="n">
        <v>1</v>
      </c>
      <c r="G68" s="6" t="inlineStr">
        <is>
          <t>Yes</t>
        </is>
      </c>
      <c r="H68" s="6" t="inlineStr">
        <is>
          <t>Duration derived from sector schedule model, selected schedule level and scenario compression/buffer logic.</t>
        </is>
      </c>
    </row>
    <row r="69">
      <c r="A69" s="6" t="inlineStr">
        <is>
          <t>5</t>
        </is>
      </c>
      <c r="B69" s="6" t="inlineStr">
        <is>
          <t>P2000</t>
        </is>
      </c>
      <c r="C69" s="6" t="inlineStr">
        <is>
          <t>Package</t>
        </is>
      </c>
      <c r="D69" s="6" t="inlineStr">
        <is>
          <t>MEP / systems package</t>
        </is>
      </c>
      <c r="E69" s="6" t="inlineStr">
        <is>
          <t>P1000</t>
        </is>
      </c>
      <c r="F69" s="9" t="n">
        <v>3</v>
      </c>
      <c r="G69" s="6" t="inlineStr">
        <is>
          <t>Yes</t>
        </is>
      </c>
      <c r="H69" s="6" t="inlineStr">
        <is>
          <t>Duration derived from sector schedule model, selected schedule level and scenario compression/buffer logic.</t>
        </is>
      </c>
    </row>
    <row r="70">
      <c r="A70" s="6" t="inlineStr">
        <is>
          <t>5</t>
        </is>
      </c>
      <c r="B70" s="6" t="inlineStr">
        <is>
          <t>P2100</t>
        </is>
      </c>
      <c r="C70" s="6" t="inlineStr">
        <is>
          <t>Activity</t>
        </is>
      </c>
      <c r="D70" s="6" t="inlineStr">
        <is>
          <t>MEP / systems package - mobilise / method</t>
        </is>
      </c>
      <c r="E70" s="6" t="inlineStr">
        <is>
          <t>P1000</t>
        </is>
      </c>
      <c r="F70" s="9" t="n">
        <v>1</v>
      </c>
      <c r="G70" s="6" t="inlineStr">
        <is>
          <t>Yes</t>
        </is>
      </c>
      <c r="H70" s="6" t="inlineStr">
        <is>
          <t>Duration derived from sector schedule model, selected schedule level and scenario compression/buffer logic.</t>
        </is>
      </c>
    </row>
    <row r="71">
      <c r="A71" s="6" t="inlineStr">
        <is>
          <t>5</t>
        </is>
      </c>
      <c r="B71" s="6" t="inlineStr">
        <is>
          <t>P2200</t>
        </is>
      </c>
      <c r="C71" s="6" t="inlineStr">
        <is>
          <t>Activity</t>
        </is>
      </c>
      <c r="D71" s="6" t="inlineStr">
        <is>
          <t>MEP / systems package - execute works</t>
        </is>
      </c>
      <c r="E71" s="6" t="inlineStr">
        <is>
          <t>P2100</t>
        </is>
      </c>
      <c r="F71" s="9" t="n">
        <v>2</v>
      </c>
      <c r="G71" s="6" t="inlineStr">
        <is>
          <t>Yes</t>
        </is>
      </c>
      <c r="H71" s="6" t="inlineStr">
        <is>
          <t>Duration derived from sector schedule model, selected schedule level and scenario compression/buffer logic.</t>
        </is>
      </c>
    </row>
    <row r="72">
      <c r="A72" s="6" t="inlineStr">
        <is>
          <t>5</t>
        </is>
      </c>
      <c r="B72" s="6" t="inlineStr">
        <is>
          <t>P2300</t>
        </is>
      </c>
      <c r="C72" s="6" t="inlineStr">
        <is>
          <t>Activity</t>
        </is>
      </c>
      <c r="D72" s="6" t="inlineStr">
        <is>
          <t>MEP / systems package - inspect / closeout</t>
        </is>
      </c>
      <c r="E72" s="6" t="inlineStr">
        <is>
          <t>P2200</t>
        </is>
      </c>
      <c r="F72" s="9" t="n">
        <v>1</v>
      </c>
      <c r="G72" s="6" t="inlineStr">
        <is>
          <t>Yes</t>
        </is>
      </c>
      <c r="H72" s="6" t="inlineStr">
        <is>
          <t>Duration derived from sector schedule model, selected schedule level and scenario compression/buffer logic.</t>
        </is>
      </c>
    </row>
    <row r="73">
      <c r="A73" s="6" t="inlineStr">
        <is>
          <t>5</t>
        </is>
      </c>
      <c r="B73" s="6" t="inlineStr">
        <is>
          <t>P3000</t>
        </is>
      </c>
      <c r="C73" s="6" t="inlineStr">
        <is>
          <t>Package</t>
        </is>
      </c>
      <c r="D73" s="6" t="inlineStr">
        <is>
          <t>Specialist equipment package</t>
        </is>
      </c>
      <c r="E73" s="6" t="inlineStr">
        <is>
          <t>P2000</t>
        </is>
      </c>
      <c r="F73" s="9" t="n">
        <v>3</v>
      </c>
      <c r="G73" s="6" t="inlineStr">
        <is>
          <t>Yes</t>
        </is>
      </c>
      <c r="H73" s="6" t="inlineStr">
        <is>
          <t>Duration derived from sector schedule model, selected schedule level and scenario compression/buffer logic.</t>
        </is>
      </c>
    </row>
    <row r="74">
      <c r="A74" s="6" t="inlineStr">
        <is>
          <t>5</t>
        </is>
      </c>
      <c r="B74" s="6" t="inlineStr">
        <is>
          <t>P3100</t>
        </is>
      </c>
      <c r="C74" s="6" t="inlineStr">
        <is>
          <t>Activity</t>
        </is>
      </c>
      <c r="D74" s="6" t="inlineStr">
        <is>
          <t>Specialist equipment package - mobilise / method</t>
        </is>
      </c>
      <c r="E74" s="6" t="inlineStr">
        <is>
          <t>P2000</t>
        </is>
      </c>
      <c r="F74" s="9" t="n">
        <v>1</v>
      </c>
      <c r="G74" s="6" t="inlineStr">
        <is>
          <t>Yes</t>
        </is>
      </c>
      <c r="H74" s="6" t="inlineStr">
        <is>
          <t>Duration derived from sector schedule model, selected schedule level and scenario compression/buffer logic.</t>
        </is>
      </c>
    </row>
    <row r="75">
      <c r="A75" s="6" t="inlineStr">
        <is>
          <t>5</t>
        </is>
      </c>
      <c r="B75" s="6" t="inlineStr">
        <is>
          <t>P3200</t>
        </is>
      </c>
      <c r="C75" s="6" t="inlineStr">
        <is>
          <t>Activity</t>
        </is>
      </c>
      <c r="D75" s="6" t="inlineStr">
        <is>
          <t>Specialist equipment package - execute works</t>
        </is>
      </c>
      <c r="E75" s="6" t="inlineStr">
        <is>
          <t>P3100</t>
        </is>
      </c>
      <c r="F75" s="9" t="n">
        <v>2</v>
      </c>
      <c r="G75" s="6" t="inlineStr">
        <is>
          <t>Yes</t>
        </is>
      </c>
      <c r="H75" s="6" t="inlineStr">
        <is>
          <t>Duration derived from sector schedule model, selected schedule level and scenario compression/buffer logic.</t>
        </is>
      </c>
    </row>
    <row r="76">
      <c r="A76" s="6" t="inlineStr">
        <is>
          <t>5</t>
        </is>
      </c>
      <c r="B76" s="6" t="inlineStr">
        <is>
          <t>P3300</t>
        </is>
      </c>
      <c r="C76" s="6" t="inlineStr">
        <is>
          <t>Activity</t>
        </is>
      </c>
      <c r="D76" s="6" t="inlineStr">
        <is>
          <t>Specialist equipment package - inspect / closeout</t>
        </is>
      </c>
      <c r="E76" s="6" t="inlineStr">
        <is>
          <t>P3200</t>
        </is>
      </c>
      <c r="F76" s="9" t="n">
        <v>1</v>
      </c>
      <c r="G76" s="6" t="inlineStr">
        <is>
          <t>Yes</t>
        </is>
      </c>
      <c r="H76" s="6" t="inlineStr">
        <is>
          <t>Duration derived from sector schedule model, selected schedule level and scenario compression/buffer logic.</t>
        </is>
      </c>
    </row>
    <row r="77">
      <c r="A77" s="6" t="inlineStr">
        <is>
          <t>5</t>
        </is>
      </c>
      <c r="B77" s="6" t="inlineStr">
        <is>
          <t>P4000</t>
        </is>
      </c>
      <c r="C77" s="6" t="inlineStr">
        <is>
          <t>Package</t>
        </is>
      </c>
      <c r="D77" s="6" t="inlineStr">
        <is>
          <t>Utilities / interfaces package</t>
        </is>
      </c>
      <c r="E77" s="6" t="inlineStr">
        <is>
          <t>P3000</t>
        </is>
      </c>
      <c r="F77" s="9" t="n">
        <v>3</v>
      </c>
      <c r="G77" s="6" t="inlineStr">
        <is>
          <t>Yes</t>
        </is>
      </c>
      <c r="H77" s="6" t="inlineStr">
        <is>
          <t>Duration derived from sector schedule model, selected schedule level and scenario compression/buffer logic.</t>
        </is>
      </c>
    </row>
    <row r="78">
      <c r="A78" s="6" t="inlineStr">
        <is>
          <t>5</t>
        </is>
      </c>
      <c r="B78" s="6" t="inlineStr">
        <is>
          <t>P4100</t>
        </is>
      </c>
      <c r="C78" s="6" t="inlineStr">
        <is>
          <t>Activity</t>
        </is>
      </c>
      <c r="D78" s="6" t="inlineStr">
        <is>
          <t>Utilities / interfaces package - mobilise / method</t>
        </is>
      </c>
      <c r="E78" s="6" t="inlineStr">
        <is>
          <t>P3000</t>
        </is>
      </c>
      <c r="F78" s="9" t="n">
        <v>1</v>
      </c>
      <c r="G78" s="6" t="inlineStr">
        <is>
          <t>Yes</t>
        </is>
      </c>
      <c r="H78" s="6" t="inlineStr">
        <is>
          <t>Duration derived from sector schedule model, selected schedule level and scenario compression/buffer logic.</t>
        </is>
      </c>
    </row>
    <row r="79">
      <c r="A79" s="6" t="inlineStr">
        <is>
          <t>5</t>
        </is>
      </c>
      <c r="B79" s="6" t="inlineStr">
        <is>
          <t>P4200</t>
        </is>
      </c>
      <c r="C79" s="6" t="inlineStr">
        <is>
          <t>Activity</t>
        </is>
      </c>
      <c r="D79" s="6" t="inlineStr">
        <is>
          <t>Utilities / interfaces package - execute works</t>
        </is>
      </c>
      <c r="E79" s="6" t="inlineStr">
        <is>
          <t>P4100</t>
        </is>
      </c>
      <c r="F79" s="9" t="n">
        <v>2</v>
      </c>
      <c r="G79" s="6" t="inlineStr">
        <is>
          <t>Yes</t>
        </is>
      </c>
      <c r="H79" s="6" t="inlineStr">
        <is>
          <t>Duration derived from sector schedule model, selected schedule level and scenario compression/buffer logic.</t>
        </is>
      </c>
    </row>
    <row r="80">
      <c r="A80" s="6" t="inlineStr">
        <is>
          <t>5</t>
        </is>
      </c>
      <c r="B80" s="6" t="inlineStr">
        <is>
          <t>P4300</t>
        </is>
      </c>
      <c r="C80" s="6" t="inlineStr">
        <is>
          <t>Activity</t>
        </is>
      </c>
      <c r="D80" s="6" t="inlineStr">
        <is>
          <t>Utilities / interfaces package - inspect / closeout</t>
        </is>
      </c>
      <c r="E80" s="6" t="inlineStr">
        <is>
          <t>P4200</t>
        </is>
      </c>
      <c r="F80" s="9" t="n">
        <v>1</v>
      </c>
      <c r="G80" s="6" t="inlineStr">
        <is>
          <t>Yes</t>
        </is>
      </c>
      <c r="H80" s="6" t="inlineStr">
        <is>
          <t>Duration derived from sector schedule model, selected schedule level and scenario compression/buffer logic.</t>
        </is>
      </c>
    </row>
    <row r="81">
      <c r="A81" s="6" t="inlineStr">
        <is>
          <t>5</t>
        </is>
      </c>
      <c r="B81" s="6" t="inlineStr">
        <is>
          <t>P5000</t>
        </is>
      </c>
      <c r="C81" s="6" t="inlineStr">
        <is>
          <t>Package</t>
        </is>
      </c>
      <c r="D81" s="6" t="inlineStr">
        <is>
          <t>Testing and commissioning package</t>
        </is>
      </c>
      <c r="E81" s="6" t="inlineStr">
        <is>
          <t>P4000</t>
        </is>
      </c>
      <c r="F81" s="9" t="n">
        <v>3</v>
      </c>
      <c r="G81" s="6" t="inlineStr">
        <is>
          <t>Yes</t>
        </is>
      </c>
      <c r="H81" s="6" t="inlineStr">
        <is>
          <t>Duration derived from sector schedule model, selected schedule level and scenario compression/buffer logic.</t>
        </is>
      </c>
    </row>
    <row r="82">
      <c r="A82" s="6" t="inlineStr">
        <is>
          <t>5</t>
        </is>
      </c>
      <c r="B82" s="6" t="inlineStr">
        <is>
          <t>P5100</t>
        </is>
      </c>
      <c r="C82" s="6" t="inlineStr">
        <is>
          <t>Activity</t>
        </is>
      </c>
      <c r="D82" s="6" t="inlineStr">
        <is>
          <t>Testing and commissioning package - mobilise / method</t>
        </is>
      </c>
      <c r="E82" s="6" t="inlineStr">
        <is>
          <t>P4000</t>
        </is>
      </c>
      <c r="F82" s="9" t="n">
        <v>1</v>
      </c>
      <c r="G82" s="6" t="inlineStr">
        <is>
          <t>Yes</t>
        </is>
      </c>
      <c r="H82" s="6" t="inlineStr">
        <is>
          <t>Duration derived from sector schedule model, selected schedule level and scenario compression/buffer logic.</t>
        </is>
      </c>
    </row>
    <row r="83">
      <c r="A83" s="6" t="inlineStr">
        <is>
          <t>5</t>
        </is>
      </c>
      <c r="B83" s="6" t="inlineStr">
        <is>
          <t>P5200</t>
        </is>
      </c>
      <c r="C83" s="6" t="inlineStr">
        <is>
          <t>Activity</t>
        </is>
      </c>
      <c r="D83" s="6" t="inlineStr">
        <is>
          <t>Testing and commissioning package - execute works</t>
        </is>
      </c>
      <c r="E83" s="6" t="inlineStr">
        <is>
          <t>P5100</t>
        </is>
      </c>
      <c r="F83" s="9" t="n">
        <v>2</v>
      </c>
      <c r="G83" s="6" t="inlineStr">
        <is>
          <t>Yes</t>
        </is>
      </c>
      <c r="H83" s="6" t="inlineStr">
        <is>
          <t>Duration derived from sector schedule model, selected schedule level and scenario compression/buffer logic.</t>
        </is>
      </c>
    </row>
    <row r="84">
      <c r="A84" s="6" t="inlineStr">
        <is>
          <t>5</t>
        </is>
      </c>
      <c r="B84" s="6" t="inlineStr">
        <is>
          <t>P5300</t>
        </is>
      </c>
      <c r="C84" s="6" t="inlineStr">
        <is>
          <t>Activity</t>
        </is>
      </c>
      <c r="D84" s="6" t="inlineStr">
        <is>
          <t>Testing and commissioning package - inspect / closeout</t>
        </is>
      </c>
      <c r="E84" s="6" t="inlineStr">
        <is>
          <t>P5200</t>
        </is>
      </c>
      <c r="F84" s="9" t="n">
        <v>1</v>
      </c>
      <c r="G84" s="6" t="inlineStr">
        <is>
          <t>Yes</t>
        </is>
      </c>
      <c r="H84" s="6" t="inlineStr">
        <is>
          <t>Duration derived from sector schedule model, selected schedule level and scenario compression/buffer logic.</t>
        </is>
      </c>
    </row>
  </sheetData>
  <mergeCells count="1">
    <mergeCell ref="A1:H1"/>
  </mergeCells>
  <pageMargins left="0.3" right="0.3" top="0.4" bottom="0.4" header="0.3" footer="0.3"/>
  <pageSetup orientation="landscape"/>
</worksheet>
</file>

<file path=xl/worksheets/sheet11.xml><?xml version="1.0" encoding="utf-8"?>
<worksheet xmlns="http://schemas.openxmlformats.org/spreadsheetml/2006/main">
  <sheetPr>
    <outlinePr summaryBelow="1" summaryRight="1"/>
    <pageSetUpPr/>
  </sheetPr>
  <dimension ref="A1:D14"/>
  <sheetViews>
    <sheetView showGridLines="0" zoomScale="90" zoomScaleNormal="90" workbookViewId="0">
      <pane ySplit="5" topLeftCell="A6" activePane="bottomLeft" state="frozen"/>
      <selection pane="bottomLeft" activeCell="A1" sqref="A1"/>
    </sheetView>
  </sheetViews>
  <sheetFormatPr baseColWidth="8" defaultRowHeight="15"/>
  <cols>
    <col width="24.7109375" customWidth="1" min="1" max="1"/>
    <col width="100.7109375" customWidth="1" min="2" max="2"/>
  </cols>
  <sheetData>
    <row r="1">
      <c r="A1" s="1" t="inlineStr">
        <is>
          <t>METHOD, ASSUMPTIONS AND AUDIT</t>
        </is>
      </c>
    </row>
    <row r="5">
      <c r="A5" s="7" t="inlineStr">
        <is>
          <t>Area</t>
        </is>
      </c>
      <c r="B5" s="7" t="inlineStr">
        <is>
          <t>Basis</t>
        </is>
      </c>
    </row>
    <row r="6">
      <c r="A6" s="6" t="inlineStr">
        <is>
          <t>Generated</t>
        </is>
      </c>
      <c r="B6" s="6" t="inlineStr">
        <is>
          <t>2026-05-24 16:47 UTC</t>
        </is>
      </c>
    </row>
    <row r="7">
      <c r="A7" s="6" t="inlineStr">
        <is>
          <t>Model version</t>
        </is>
      </c>
      <c r="B7" s="6" t="inlineStr">
        <is>
          <t>CASEY v55 Platinum Outputs Final</t>
        </is>
      </c>
    </row>
    <row r="8">
      <c r="A8" s="6" t="inlineStr">
        <is>
          <t>Scenario</t>
        </is>
      </c>
      <c r="B8" s="6" t="inlineStr">
        <is>
          <t>Base</t>
        </is>
      </c>
    </row>
    <row r="9">
      <c r="A9" s="6" t="inlineStr">
        <is>
          <t>Estimate class</t>
        </is>
      </c>
      <c r="B9" s="6" t="n">
        <v>3</v>
      </c>
    </row>
    <row r="10">
      <c r="A10" s="6" t="inlineStr">
        <is>
          <t>Schedule level</t>
        </is>
      </c>
      <c r="B10" s="6" t="n">
        <v>4</v>
      </c>
    </row>
    <row r="11">
      <c r="A11" s="6" t="inlineStr">
        <is>
          <t>Cost method</t>
        </is>
      </c>
      <c r="B11" s="6" t="inlineStr">
        <is>
          <t>Parametric sector template + location + scale + complexity + scenario + class range</t>
        </is>
      </c>
    </row>
    <row r="12">
      <c r="A12" s="6" t="inlineStr">
        <is>
          <t>QCRA method</t>
        </is>
      </c>
      <c r="B12" s="6" t="inlineStr">
        <is>
          <t>Cost confidence curve and cost-only tornado drivers</t>
        </is>
      </c>
    </row>
    <row r="13">
      <c r="A13" s="6" t="inlineStr">
        <is>
          <t>QSRA method</t>
        </is>
      </c>
      <c r="B13" s="6" t="inlineStr">
        <is>
          <t>Schedule confidence curve and schedule-only tornado drivers</t>
        </is>
      </c>
    </row>
    <row r="14">
      <c r="A14" s="6" t="inlineStr">
        <is>
          <t>Limitation</t>
        </is>
      </c>
      <c r="B14" s="6" t="inlineStr">
        <is>
          <t>First-pass intelligence. Validate with project-specific evidence before commitment.</t>
        </is>
      </c>
    </row>
  </sheetData>
  <mergeCells count="1">
    <mergeCell ref="A1:D1"/>
  </mergeCells>
  <pageMargins left="0.3" right="0.3" top="0.4" bottom="0.4" header="0.3" footer="0.3"/>
  <pageSetup orientation="landscape"/>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20" customWidth="1" min="2" max="2"/>
  </cols>
  <sheetData>
    <row r="1">
      <c r="A1" s="17" t="inlineStr">
        <is>
          <t>Section</t>
        </is>
      </c>
      <c r="B1" s="17" t="inlineStr">
        <is>
          <t>Content</t>
        </is>
      </c>
    </row>
    <row r="2">
      <c r="A2" s="17" t="inlineStr">
        <is>
          <t>CASEY Position</t>
        </is>
      </c>
      <c r="B2" s="17" t="inlineStr">
        <is>
          <t>CASEY POSITION
CASEY does not judge Advanced Semiconductor Fab on headline progress alone.
The programme should be governed through cleanroom readiness, process-tool install, ultra-pure utilities and yield-ramp qualification. Current confidence (66%) is a board-defensibility signal, not an optimism score. Risk posture is Medium-High; approval should be conditional until evidence proves the governing constraint is controlled.
If management cannot evidence this constraint, the programme is not approval-ready; it is only reportable.</t>
        </is>
      </c>
    </row>
    <row r="3">
      <c r="A3" s="17" t="inlineStr">
        <is>
          <t>Traditional Controls vs CASEY</t>
        </is>
      </c>
      <c r="B3" s="17" t="inlineStr">
        <is>
          <t>TRADITIONAL CONTROLS VS CASEY
Traditional controls view:
Base build and cleanroom construction appear advanced.
CASEY view:
Tool qualification, contamination control and yield maturity govern production confidence.
Why this matters:
Traditional reporting can remain green while confidence is already deteriorating. CASEY reads the behaviour underneath the dashboard: evidence maturity, governing constraint exposure, and whether float/reserve are actually usable.</t>
        </is>
      </c>
    </row>
    <row r="4">
      <c r="A4" s="17" t="inlineStr">
        <is>
          <t>Board Attacks</t>
        </is>
      </c>
      <c r="B4" s="17" t="inlineStr">
        <is>
          <t>LIKELY BOARD ATTACKS
1. Which tool family governs first wafer readiness?
2. Is cleanroom certification evidence complete?
3. What purity utility assumption is most fragile?
4. Does schedule compression damage yield ramp?
5. Where is specialist labour concentration highest?</t>
        </is>
      </c>
    </row>
    <row r="5">
      <c r="A5" s="17" t="inlineStr">
        <is>
          <t>What The Board Is Really Deciding</t>
        </is>
      </c>
      <c r="B5" s="17" t="inlineStr">
        <is>
          <t>WHAT THE BOARD IS REALLY DECIDING
The board is not simply approving cost and schedule.
The board is accepting:
- exposure to cleanroom readiness, process-tool install, ultra-pure utilities and yield-ramp qualification
- the current evidence maturity position
- whether reserve is credible against P80/P90 behaviour
- whether management can recover if the governing constraint slips
Evidence required before unconditional approval:
- tool delivery and hook-up plan
- cleanroom certification
- ultra-pure water readiness
- process qualification gates
- yield ramp assumptions
CASEY POSITION
Approval should be conditional. Confidence improvement requires evidence closure, not a more polished narrative.</t>
        </is>
      </c>
    </row>
    <row r="6">
      <c r="A6" s="17" t="inlineStr">
        <is>
          <t>If This Programme Fails</t>
        </is>
      </c>
      <c r="B6" s="17" t="inlineStr">
        <is>
          <t>IF THIS PROGRAMME FAILS
The most likely external explanation will be:
"process-tool qualification and cleanroom utility maturity lagged shell completion."
The internal explanation will be sharper:
Management treated reported progress as equivalent to board-defensible readiness.
CASEY WARNING
The failure mode is behavioural before it is numerical: optimism, weak evidence closure, and late recognition of the governing constraint.</t>
        </is>
      </c>
    </row>
    <row r="7">
      <c r="A7" s="17" t="inlineStr">
        <is>
          <t>Intervention Intelligence</t>
        </is>
      </c>
      <c r="B7" s="17" t="inlineStr">
        <is>
          <t>INTERVENTION INTELLIGENCE
The highest-value intervention is not another status pack.
1. Prove cleanroom readiness, process-tool install, ultra-pure utilities and yield-ramp qualification with auditable evidence.
2. Convert the weakest assumption into an owned mitigation with trigger, date, owner and residual exposure.
3. Re-run P80/P90 after evidence closure, not after narrative revision.
Fastest confidence unlock:
Close the first missing evidence item: tool delivery and hook-up plan.
CASEY POSITION
The programme needs targeted evidence closure where confidence is actually governed.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2026-05-24T16:47:43Z</dcterms:created>
  <dcterms:modified xmlns:dcterms="http://purl.org/dc/terms/" xmlns:xsi="http://www.w3.org/2001/XMLSchema-instance" xsi:type="dcterms:W3CDTF">2026-05-24T16:47:43Z</dcterms:modified>
</cp:coreProperties>
</file>