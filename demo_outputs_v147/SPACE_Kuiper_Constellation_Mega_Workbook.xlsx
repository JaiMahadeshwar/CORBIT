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3.xml" ContentType="application/vnd.openxmlformats-officedocument.drawing+xml"/>
  <Override PartName="/xl/worksheets/sheet7.xml" ContentType="application/vnd.openxmlformats-officedocument.spreadsheetml.worksheet+xml"/>
  <Override PartName="/xl/drawings/drawing4.xml" ContentType="application/vnd.openxmlformats-officedocument.drawing+xml"/>
  <Override PartName="/xl/worksheets/sheet8.xml" ContentType="application/vnd.openxmlformats-officedocument.spreadsheetml.worksheet+xml"/>
  <Override PartName="/xl/drawings/drawing5.xml" ContentType="application/vnd.openxmlformats-officedocument.drawing+xml"/>
  <Override PartName="/xl/worksheets/sheet9.xml" ContentType="application/vnd.openxmlformats-officedocument.spreadsheetml.worksheet+xml"/>
  <Override PartName="/xl/drawings/drawing6.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01 Executive Dashboard" sheetId="1" state="visible" r:id="rId1"/>
    <sheet xmlns:r="http://schemas.openxmlformats.org/officeDocument/2006/relationships" name="02 Selected Cost Estimate" sheetId="2" state="visible" r:id="rId2"/>
    <sheet xmlns:r="http://schemas.openxmlformats.org/officeDocument/2006/relationships" name="03 All Class Estimates" sheetId="3" state="visible" r:id="rId3"/>
    <sheet xmlns:r="http://schemas.openxmlformats.org/officeDocument/2006/relationships" name="04 Scenario Comparison" sheetId="4" state="visible" r:id="rId4"/>
    <sheet xmlns:r="http://schemas.openxmlformats.org/officeDocument/2006/relationships" name="05 Risk Register" sheetId="5" state="visible" r:id="rId5"/>
    <sheet xmlns:r="http://schemas.openxmlformats.org/officeDocument/2006/relationships" name="06 QCRA Curve" sheetId="6" state="visible" r:id="rId6"/>
    <sheet xmlns:r="http://schemas.openxmlformats.org/officeDocument/2006/relationships" name="07 QSRA Curve" sheetId="7" state="visible" r:id="rId7"/>
    <sheet xmlns:r="http://schemas.openxmlformats.org/officeDocument/2006/relationships" name="08 QCRA Tornado" sheetId="8" state="visible" r:id="rId8"/>
    <sheet xmlns:r="http://schemas.openxmlformats.org/officeDocument/2006/relationships" name="09 QSRA Tornado" sheetId="9" state="visible" r:id="rId9"/>
    <sheet xmlns:r="http://schemas.openxmlformats.org/officeDocument/2006/relationships" name="10 All Schedule Levels" sheetId="10" state="visible" r:id="rId10"/>
    <sheet xmlns:r="http://schemas.openxmlformats.org/officeDocument/2006/relationships" name="11 Basis + Audit" sheetId="11" state="visible" r:id="rId11"/>
    <sheet xmlns:r="http://schemas.openxmlformats.org/officeDocument/2006/relationships" name="CASEY Board Challenge" sheetId="12" state="visible" r:id="rId12"/>
  </sheets>
  <definedNames/>
  <calcPr calcId="124519" fullCalcOnLoad="1"/>
</workbook>
</file>

<file path=xl/styles.xml><?xml version="1.0" encoding="utf-8"?>
<styleSheet xmlns="http://schemas.openxmlformats.org/spreadsheetml/2006/main">
  <numFmts count="2">
    <numFmt numFmtId="164" formatCode="$#,##0.0B"/>
    <numFmt numFmtId="165" formatCode="0.0"/>
  </numFmts>
  <fonts count="7">
    <font>
      <name val="Calibri"/>
      <family val="2"/>
      <color theme="1"/>
      <sz val="11"/>
      <scheme val="minor"/>
    </font>
    <font>
      <name val="Calibri"/>
      <family val="2"/>
      <b val="1"/>
      <color rgb="FF0B1F33"/>
      <sz val="20"/>
      <scheme val="minor"/>
    </font>
    <font>
      <name val="Calibri"/>
      <family val="2"/>
      <color rgb="FF666666"/>
      <sz val="10"/>
      <scheme val="minor"/>
    </font>
    <font>
      <name val="Calibri"/>
      <family val="2"/>
      <b val="1"/>
      <color rgb="FF0B1F33"/>
      <sz val="11"/>
      <scheme val="minor"/>
    </font>
    <font>
      <name val="Calibri"/>
      <family val="2"/>
      <b val="1"/>
      <color rgb="FF0B1F33"/>
      <sz val="16"/>
      <scheme val="minor"/>
    </font>
    <font>
      <name val="Calibri"/>
      <family val="2"/>
      <b val="1"/>
      <color rgb="FFFFFFFF"/>
      <sz val="13"/>
      <scheme val="minor"/>
    </font>
    <font>
      <name val="Calibri"/>
      <family val="2"/>
      <b val="1"/>
      <color rgb="FFFFFFFF"/>
      <sz val="11"/>
      <scheme val="minor"/>
    </font>
  </fonts>
  <fills count="6">
    <fill>
      <patternFill/>
    </fill>
    <fill>
      <patternFill patternType="gray125"/>
    </fill>
    <fill>
      <patternFill patternType="solid">
        <fgColor rgb="FFFFFFFF"/>
        <bgColor indexed="64"/>
      </patternFill>
    </fill>
    <fill>
      <patternFill patternType="solid">
        <fgColor rgb="FFF4F7FA"/>
        <bgColor indexed="64"/>
      </patternFill>
    </fill>
    <fill>
      <patternFill patternType="solid">
        <fgColor rgb="FF0B1F33"/>
        <bgColor indexed="64"/>
      </patternFill>
    </fill>
    <fill>
      <patternFill patternType="solid">
        <fgColor rgb="FF0070C0"/>
        <bgColor indexed="64"/>
      </patternFill>
    </fill>
  </fills>
  <borders count="11">
    <border>
      <left/>
      <right/>
      <top/>
      <bottom/>
      <diagonal/>
    </border>
    <border>
      <left style="thin">
        <color rgb="FFD9E2EA"/>
      </left>
      <right style="thin">
        <color rgb="FFD9E2EA"/>
      </right>
      <top style="thin">
        <color rgb="FFD9E2EA"/>
      </top>
      <bottom style="thin">
        <color rgb="FFD9E2EA"/>
      </bottom>
      <diagonal/>
    </border>
    <border>
      <left/>
      <right/>
      <top style="thin">
        <color rgb="FFD9E2EA"/>
      </top>
      <bottom/>
      <diagonal/>
    </border>
    <border>
      <left/>
      <right style="thin">
        <color rgb="FFD9E2EA"/>
      </right>
      <top style="thin">
        <color rgb="FFD9E2EA"/>
      </top>
      <bottom/>
      <diagonal/>
    </border>
    <border>
      <left/>
      <right style="thin">
        <color rgb="FFD9E2EA"/>
      </right>
      <top style="thin">
        <color rgb="FFD9E2EA"/>
      </top>
      <bottom style="thin">
        <color rgb="FFD9E2EA"/>
      </bottom>
      <diagonal/>
    </border>
    <border>
      <left/>
      <right/>
      <top style="thin">
        <color rgb="FFD9E2EA"/>
      </top>
      <bottom style="thin">
        <color rgb="FFD9E2EA"/>
      </bottom>
      <diagonal/>
    </border>
    <border>
      <left style="thin">
        <color rgb="FFD9E2EA"/>
      </left>
      <right/>
      <top/>
      <bottom/>
      <diagonal/>
    </border>
    <border>
      <left/>
      <right style="thin">
        <color rgb="FFD9E2EA"/>
      </right>
      <top/>
      <bottom/>
      <diagonal/>
    </border>
    <border>
      <left style="thin">
        <color rgb="FFD9E2EA"/>
      </left>
      <right/>
      <top/>
      <bottom style="thin">
        <color rgb="FFD9E2EA"/>
      </bottom>
      <diagonal/>
    </border>
    <border>
      <left/>
      <right/>
      <top/>
      <bottom style="thin">
        <color rgb="FFD9E2EA"/>
      </bottom>
      <diagonal/>
    </border>
    <border>
      <left/>
      <right style="thin">
        <color rgb="FFD9E2EA"/>
      </right>
      <top/>
      <bottom style="thin">
        <color rgb="FFD9E2EA"/>
      </bottom>
      <diagonal/>
    </border>
  </borders>
  <cellStyleXfs count="1">
    <xf numFmtId="0" fontId="0" fillId="0" borderId="0"/>
  </cellStyleXfs>
  <cellXfs count="18">
    <xf numFmtId="0" fontId="0" fillId="0" borderId="0" pivotButton="0" quotePrefix="0" xfId="0"/>
    <xf numFmtId="0" fontId="1" fillId="2" borderId="0" pivotButton="0" quotePrefix="0" xfId="0"/>
    <xf numFmtId="0" fontId="2" fillId="0" borderId="0" pivotButton="0" quotePrefix="0" xfId="0"/>
    <xf numFmtId="0" fontId="3" fillId="3" borderId="1" pivotButton="0" quotePrefix="0" xfId="0"/>
    <xf numFmtId="0" fontId="4" fillId="2" borderId="1" pivotButton="0" quotePrefix="0" xfId="0"/>
    <xf numFmtId="0" fontId="5" fillId="4" borderId="1" pivotButton="0" quotePrefix="0" xfId="0"/>
    <xf numFmtId="0" fontId="0" fillId="0" borderId="1" applyAlignment="1" pivotButton="0" quotePrefix="0" xfId="0">
      <alignment vertical="top" wrapText="1"/>
    </xf>
    <xf numFmtId="0" fontId="6" fillId="5" borderId="1" applyAlignment="1" pivotButton="0" quotePrefix="0" xfId="0">
      <alignment vertical="center"/>
    </xf>
    <xf numFmtId="164" fontId="0" fillId="0" borderId="1" applyAlignment="1" pivotButton="0" quotePrefix="0" xfId="0">
      <alignment vertical="top"/>
    </xf>
    <xf numFmtId="165" fontId="0" fillId="0" borderId="1" applyAlignment="1" pivotButton="0" quotePrefix="0" xfId="0">
      <alignment vertical="top"/>
    </xf>
    <xf numFmtId="0" fontId="0" fillId="0" borderId="4" pivotButton="0" quotePrefix="0" xfId="0"/>
    <xf numFmtId="0" fontId="0" fillId="0" borderId="5" pivotButton="0" quotePrefix="0" xfId="0"/>
    <xf numFmtId="0" fontId="0" fillId="0" borderId="2" pivotButton="0" quotePrefix="0" xfId="0"/>
    <xf numFmtId="0" fontId="0" fillId="0" borderId="3"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0" applyAlignment="1" pivotButton="0" quotePrefix="0" xfId="0">
      <alignment vertical="top" wrapText="1"/>
    </xf>
  </cellXfs>
  <cellStyles count="1">
    <cellStyle name="Normal" xfId="0" builtinId="0"/>
  </cellStyles>
  <dxfs count="3">
    <dxf>
      <fill>
        <patternFill>
          <bgColor rgb="FFFCE4D6"/>
        </patternFill>
      </fill>
      <border>
        <left style="thin">
          <color rgb="FFD9E2EA"/>
        </left>
        <right style="thin">
          <color rgb="FFD9E2EA"/>
        </right>
        <top style="thin">
          <color rgb="FFD9E2EA"/>
        </top>
        <bottom style="thin">
          <color rgb="FFD9E2EA"/>
        </bottom>
        <vertical/>
        <horizontal/>
      </border>
    </dxf>
    <dxf>
      <fill>
        <patternFill>
          <bgColor rgb="FFFFF2CC"/>
        </patternFill>
      </fill>
      <border>
        <left style="thin">
          <color rgb="FFD9E2EA"/>
        </left>
        <right style="thin">
          <color rgb="FFD9E2EA"/>
        </right>
        <top style="thin">
          <color rgb="FFD9E2EA"/>
        </top>
        <bottom style="thin">
          <color rgb="FFD9E2EA"/>
        </bottom>
        <vertical/>
        <horizontal/>
      </border>
    </dxf>
    <dxf>
      <fill>
        <patternFill>
          <bgColor rgb="FFE2F0D9"/>
        </patternFill>
      </fill>
      <border>
        <left style="thin">
          <color rgb="FFD9E2EA"/>
        </left>
        <right style="thin">
          <color rgb="FFD9E2EA"/>
        </right>
        <top style="thin">
          <color rgb="FFD9E2EA"/>
        </top>
        <bottom style="thin">
          <color rgb="FFD9E2EA"/>
        </bottom>
        <vertical/>
        <horizontal/>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Direct / Indirect / Reserve</a:t>
            </a:r>
          </a:p>
        </rich>
      </tx>
      <layout/>
    </title>
    <plotArea>
      <layout/>
      <doughnutChart>
        <varyColors val="1"/>
        <ser>
          <idx val="0"/>
          <order val="0"/>
          <tx>
            <v>Cost composition</v>
          </tx>
          <spPr>
            <a:ln xmlns:a="http://schemas.openxmlformats.org/drawingml/2006/main">
              <a:prstDash val="solid"/>
            </a:ln>
          </spPr>
          <dLbls>
            <showPercent val="1"/>
          </dLbls>
          <cat>
            <strRef>
              <f>'01 Executive Dashboard'!$A$19:$A$21</f>
              <strCache>
                <ptCount val="3"/>
                <pt idx="0">
                  <v>Direct</v>
                </pt>
                <pt idx="1">
                  <v>Indirect</v>
                </pt>
                <pt idx="2">
                  <v>Reserve</v>
                </pt>
              </strCache>
            </strRef>
          </cat>
          <val>
            <numRef>
              <f>'01 Executive Dashboard'!$B$19:$B$21</f>
              <numCache>
                <formatCode>General</formatCode>
                <ptCount val="3"/>
                <pt idx="0">
                  <v>2.403</v>
                </pt>
                <pt idx="1">
                  <v>0.53</v>
                </pt>
                <pt idx="2">
                  <v>0.281</v>
                </pt>
              </numCache>
            </numRef>
          </val>
        </ser>
        <firstSliceAng val="0"/>
        <holeSize val="50"/>
      </doughnutChart>
    </plotArea>
    <legend>
      <legendPos val="r"/>
      <layout/>
      <txPr>
        <a:bodyPr xmlns:a="http://schemas.openxmlformats.org/drawingml/2006/main"/>
        <a:lstStyle xmlns:a="http://schemas.openxmlformats.org/drawingml/2006/main"/>
        <a:p xmlns:a="http://schemas.openxmlformats.org/drawingml/2006/main">
          <a:pPr rtl="0">
            <a:defRPr/>
          </a:pPr>
          <a:r>
            <a:t/>
          </a:r>
          <a:endParaRPr lang="en-US"/>
        </a:p>
      </txPr>
    </legend>
    <plotVisOnly val="1"/>
    <dispBlanksAs val="gap"/>
  </chart>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P50 cost by package</a:t>
            </a:r>
          </a:p>
        </rich>
      </tx>
      <layout/>
    </title>
    <plotArea>
      <layout/>
      <barChart>
        <barDir val="col"/>
        <grouping val="clustered"/>
        <ser>
          <idx val="0"/>
          <order val="0"/>
          <tx>
            <v>P50 $B</v>
          </tx>
          <spPr>
            <a:ln xmlns:a="http://schemas.openxmlformats.org/drawingml/2006/main">
              <a:prstDash val="solid"/>
            </a:ln>
          </spPr>
          <cat>
            <strRef>
              <f>'02 Selected Cost Estimate'!$B$6:$B$18</f>
              <strCache>
                <ptCount val="13"/>
                <pt idx="0">
                  <v>Site Preparation / Enabling</v>
                </pt>
                <pt idx="1">
                  <v>Substructure / Foundations</v>
                </pt>
                <pt idx="2">
                  <v>Superstructure / Civil Works</v>
                </pt>
                <pt idx="3">
                  <v>MEP / Systems / Utilities</v>
                </pt>
                <pt idx="4">
                  <v>Specialist Equipment / Fit-Out</v>
                </pt>
                <pt idx="5">
                  <v>Direct Labour</v>
                </pt>
                <pt idx="6">
                  <v>Direct Materials</v>
                </pt>
                <pt idx="7">
                  <v>Plant / Equipment</v>
                </pt>
                <pt idx="8">
                  <v>General Conditions / Prelims</v>
                </pt>
                <pt idx="9">
                  <v>Design / Professional Fees</v>
                </pt>
                <pt idx="10">
                  <v>Permits / Insurance / Bonds</v>
                </pt>
                <pt idx="11">
                  <v>QCRA Contingency</v>
                </pt>
                <pt idx="12">
                  <v>Management Reserve</v>
                </pt>
              </strCache>
            </strRef>
          </cat>
          <val>
            <numRef>
              <f>'02 Selected Cost Estimate'!$F$6:$F$18</f>
              <numCache>
                <formatCode>General</formatCode>
                <ptCount val="13"/>
                <pt idx="0">
                  <v>0.187</v>
                </pt>
                <pt idx="1">
                  <v>0.25</v>
                </pt>
                <pt idx="2">
                  <v>0.437</v>
                </pt>
                <pt idx="3">
                  <v>0.437</v>
                </pt>
                <pt idx="4">
                  <v>0.374</v>
                </pt>
                <pt idx="5">
                  <v>0.281</v>
                </pt>
                <pt idx="6">
                  <v>0.312</v>
                </pt>
                <pt idx="7">
                  <v>0.125</v>
                </pt>
                <pt idx="8">
                  <v>0.218</v>
                </pt>
                <pt idx="9">
                  <v>0.218</v>
                </pt>
                <pt idx="10">
                  <v>0.094</v>
                </pt>
                <pt idx="11">
                  <v>0.187</v>
                </pt>
                <pt idx="12">
                  <v>0.094</v>
                </pt>
              </numCache>
            </numRef>
          </val>
        </ser>
        <gapWidth val="150"/>
        <axId val="50020001"/>
        <axId val="50020002"/>
      </barChart>
      <catAx>
        <axId val="50020001"/>
        <scaling>
          <orientation val="minMax"/>
        </scaling>
        <axPos val="b"/>
        <majorTickMark val="none"/>
        <minorTickMark val="none"/>
        <tickLblPos val="nextTo"/>
        <crossAx val="50020002"/>
        <crosses val="autoZero"/>
        <auto val="1"/>
        <lblAlgn val="ctr"/>
        <lblOffset val="100"/>
      </catAx>
      <valAx>
        <axId val="50020002"/>
        <scaling>
          <orientation val="minMax"/>
        </scaling>
        <axPos val="l"/>
        <majorGridlines/>
        <title>
          <tx>
            <rich>
              <a:bodyPr xmlns:a="http://schemas.openxmlformats.org/drawingml/2006/main"/>
              <a:lstStyle xmlns:a="http://schemas.openxmlformats.org/drawingml/2006/main"/>
              <a:p xmlns:a="http://schemas.openxmlformats.org/drawingml/2006/main">
                <a:pPr>
                  <a:defRPr/>
                </a:pPr>
                <a:r>
                  <a:rPr lang="en-US"/>
                  <a:t>$B</a:t>
                </a:r>
              </a:p>
            </rich>
          </tx>
          <layout/>
        </title>
        <numFmt formatCode="General" sourceLinked="1"/>
        <majorTickMark val="none"/>
        <minorTickMark val="none"/>
        <tickLblPos val="nextTo"/>
        <crossAx val="50020001"/>
        <crosses val="autoZero"/>
        <crossBetween val="between"/>
      </valAx>
    </plotArea>
    <legend>
      <legendPos val="r"/>
      <layout/>
    </legend>
    <plotVisOnly val="1"/>
    <dispBlanksAs val="gap"/>
  </chart>
</chartSpace>
</file>

<file path=xl/charts/chart3.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QCRA S-Curve</a:t>
            </a:r>
          </a:p>
        </rich>
      </tx>
      <layout/>
    </title>
    <plotArea>
      <layout/>
      <lineChart>
        <grouping val="standard"/>
        <ser>
          <idx val="0"/>
          <order val="0"/>
          <tx>
            <v>QCRA Cost $B</v>
          </tx>
          <spPr>
            <a:ln xmlns:a="http://schemas.openxmlformats.org/drawingml/2006/main">
              <a:prstDash val="solid"/>
            </a:ln>
          </spPr>
          <marker>
            <symbol val="none"/>
            <spPr>
              <a:ln xmlns:a="http://schemas.openxmlformats.org/drawingml/2006/main">
                <a:prstDash val="solid"/>
              </a:ln>
            </spPr>
          </marker>
          <cat>
            <numRef>
              <f>'06 QCRA Curve'!$A$6:$A$18</f>
              <numCache>
                <formatCode>General</formatCode>
                <ptCount val="13"/>
                <pt idx="0">
                  <v>1</v>
                </pt>
                <pt idx="1">
                  <v>5</v>
                </pt>
                <pt idx="2">
                  <v>10</v>
                </pt>
                <pt idx="3">
                  <v>20</v>
                </pt>
                <pt idx="4">
                  <v>30</v>
                </pt>
                <pt idx="5">
                  <v>40</v>
                </pt>
                <pt idx="6">
                  <v>50</v>
                </pt>
                <pt idx="7">
                  <v>60</v>
                </pt>
                <pt idx="8">
                  <v>70</v>
                </pt>
                <pt idx="9">
                  <v>80</v>
                </pt>
                <pt idx="10">
                  <v>90</v>
                </pt>
                <pt idx="11">
                  <v>95</v>
                </pt>
                <pt idx="12">
                  <v>99</v>
                </pt>
              </numCache>
            </numRef>
          </cat>
          <val>
            <numRef>
              <f>'06 QCRA Curve'!$B$6:$B$18</f>
              <numCache>
                <formatCode>General</formatCode>
                <ptCount val="13"/>
                <pt idx="0">
                  <v>2.42</v>
                </pt>
                <pt idx="1">
                  <v>2.51</v>
                </pt>
                <pt idx="2">
                  <v>2.6</v>
                </pt>
                <pt idx="3">
                  <v>2.76</v>
                </pt>
                <pt idx="4">
                  <v>2.88</v>
                </pt>
                <pt idx="5">
                  <v>3.01</v>
                </pt>
                <pt idx="6">
                  <v>3.1</v>
                </pt>
                <pt idx="7">
                  <v>3.29</v>
                </pt>
                <pt idx="8">
                  <v>3.56</v>
                </pt>
                <pt idx="9">
                  <v>4.03</v>
                </pt>
                <pt idx="10">
                  <v>4.56</v>
                </pt>
                <pt idx="11">
                  <v>4.9</v>
                </pt>
                <pt idx="12">
                  <v>5.33</v>
                </pt>
              </numCache>
            </numRef>
          </val>
        </ser>
        <marker val="1"/>
        <axId val="50030001"/>
        <axId val="50030002"/>
      </lineChart>
      <catAx>
        <axId val="50030001"/>
        <scaling>
          <orientation val="minMax"/>
        </scaling>
        <axPos val="b"/>
        <numFmt formatCode="General" sourceLinked="1"/>
        <majorTickMark val="none"/>
        <minorTickMark val="none"/>
        <tickLblPos val="nextTo"/>
        <crossAx val="50030002"/>
        <crosses val="autoZero"/>
        <auto val="1"/>
        <lblAlgn val="ctr"/>
        <lblOffset val="100"/>
      </catAx>
      <valAx>
        <axId val="50030002"/>
        <scaling>
          <orientation val="minMax"/>
        </scaling>
        <axPos val="l"/>
        <majorGridlines/>
        <title>
          <tx>
            <rich>
              <a:bodyPr xmlns:a="http://schemas.openxmlformats.org/drawingml/2006/main" rot="-5400000" vert="horz"/>
              <a:lstStyle xmlns:a="http://schemas.openxmlformats.org/drawingml/2006/main"/>
              <a:p xmlns:a="http://schemas.openxmlformats.org/drawingml/2006/main">
                <a:pPr>
                  <a:defRPr/>
                </a:pPr>
                <a:r>
                  <a:rPr lang="en-US"/>
                  <a:t>Cost $B</a:t>
                </a:r>
              </a:p>
            </rich>
          </tx>
          <layout/>
        </title>
        <numFmt formatCode="General" sourceLinked="1"/>
        <majorTickMark val="none"/>
        <minorTickMark val="none"/>
        <tickLblPos val="nextTo"/>
        <crossAx val="50030001"/>
        <crosses val="autoZero"/>
        <crossBetween val="between"/>
      </valAx>
    </plotArea>
    <legend>
      <legendPos val="r"/>
      <layout/>
    </legend>
    <plotVisOnly val="1"/>
    <dispBlanksAs val="gap"/>
  </chart>
</chartSpace>
</file>

<file path=xl/charts/chart4.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QSRA S-Curve</a:t>
            </a:r>
          </a:p>
        </rich>
      </tx>
      <layout/>
    </title>
    <plotArea>
      <layout/>
      <lineChart>
        <grouping val="standard"/>
        <ser>
          <idx val="0"/>
          <order val="0"/>
          <tx>
            <v>QSRA Months</v>
          </tx>
          <spPr>
            <a:ln xmlns:a="http://schemas.openxmlformats.org/drawingml/2006/main">
              <a:prstDash val="solid"/>
            </a:ln>
          </spPr>
          <marker>
            <symbol val="none"/>
            <spPr>
              <a:ln xmlns:a="http://schemas.openxmlformats.org/drawingml/2006/main">
                <a:prstDash val="solid"/>
              </a:ln>
            </spPr>
          </marker>
          <cat>
            <numRef>
              <f>'07 QSRA Curve'!$A$6:$A$18</f>
              <numCache>
                <formatCode>General</formatCode>
                <ptCount val="13"/>
                <pt idx="0">
                  <v>1</v>
                </pt>
                <pt idx="1">
                  <v>5</v>
                </pt>
                <pt idx="2">
                  <v>10</v>
                </pt>
                <pt idx="3">
                  <v>20</v>
                </pt>
                <pt idx="4">
                  <v>30</v>
                </pt>
                <pt idx="5">
                  <v>40</v>
                </pt>
                <pt idx="6">
                  <v>50</v>
                </pt>
                <pt idx="7">
                  <v>60</v>
                </pt>
                <pt idx="8">
                  <v>70</v>
                </pt>
                <pt idx="9">
                  <v>80</v>
                </pt>
                <pt idx="10">
                  <v>90</v>
                </pt>
                <pt idx="11">
                  <v>95</v>
                </pt>
                <pt idx="12">
                  <v>99</v>
                </pt>
              </numCache>
            </numRef>
          </cat>
          <val>
            <numRef>
              <f>'07 QSRA Curve'!$B$6:$B$18</f>
              <numCache>
                <formatCode>General</formatCode>
                <ptCount val="13"/>
                <pt idx="0">
                  <v>47</v>
                </pt>
                <pt idx="1">
                  <v>48</v>
                </pt>
                <pt idx="2">
                  <v>49</v>
                </pt>
                <pt idx="3">
                  <v>51</v>
                </pt>
                <pt idx="4">
                  <v>54</v>
                </pt>
                <pt idx="5">
                  <v>55</v>
                </pt>
                <pt idx="6">
                  <v>57</v>
                </pt>
                <pt idx="7">
                  <v>60</v>
                </pt>
                <pt idx="8">
                  <v>66</v>
                </pt>
                <pt idx="9">
                  <v>74</v>
                </pt>
                <pt idx="10">
                  <v>84</v>
                </pt>
                <pt idx="11">
                  <v>90</v>
                </pt>
                <pt idx="12">
                  <v>98</v>
                </pt>
              </numCache>
            </numRef>
          </val>
        </ser>
        <marker val="1"/>
        <axId val="50040001"/>
        <axId val="50040002"/>
      </lineChart>
      <catAx>
        <axId val="50040001"/>
        <scaling>
          <orientation val="minMax"/>
        </scaling>
        <axPos val="b"/>
        <numFmt formatCode="General" sourceLinked="1"/>
        <majorTickMark val="none"/>
        <minorTickMark val="none"/>
        <tickLblPos val="nextTo"/>
        <crossAx val="50040002"/>
        <crosses val="autoZero"/>
        <auto val="1"/>
        <lblAlgn val="ctr"/>
        <lblOffset val="100"/>
      </catAx>
      <valAx>
        <axId val="50040002"/>
        <scaling>
          <orientation val="minMax"/>
        </scaling>
        <axPos val="l"/>
        <majorGridlines/>
        <title>
          <tx>
            <rich>
              <a:bodyPr xmlns:a="http://schemas.openxmlformats.org/drawingml/2006/main" rot="-5400000" vert="horz"/>
              <a:lstStyle xmlns:a="http://schemas.openxmlformats.org/drawingml/2006/main"/>
              <a:p xmlns:a="http://schemas.openxmlformats.org/drawingml/2006/main">
                <a:pPr>
                  <a:defRPr/>
                </a:pPr>
                <a:r>
                  <a:rPr lang="en-US"/>
                  <a:t>Months</a:t>
                </a:r>
              </a:p>
            </rich>
          </tx>
          <layout/>
        </title>
        <numFmt formatCode="General" sourceLinked="1"/>
        <majorTickMark val="none"/>
        <minorTickMark val="none"/>
        <tickLblPos val="nextTo"/>
        <crossAx val="50040001"/>
        <crosses val="autoZero"/>
        <crossBetween val="between"/>
      </valAx>
    </plotArea>
    <legend>
      <legendPos val="r"/>
      <layout/>
    </legend>
    <plotVisOnly val="1"/>
    <dispBlanksAs val="gap"/>
  </chart>
</chartSpace>
</file>

<file path=xl/charts/chart5.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QCRA Cost Tornado</a:t>
            </a:r>
          </a:p>
        </rich>
      </tx>
      <layout/>
    </title>
    <plotArea>
      <layout/>
      <barChart>
        <barDir val="bar"/>
        <grouping val="clustered"/>
        <ser>
          <idx val="0"/>
          <order val="0"/>
          <tx>
            <v>Mean Cost $B</v>
          </tx>
          <spPr>
            <a:ln xmlns:a="http://schemas.openxmlformats.org/drawingml/2006/main">
              <a:prstDash val="solid"/>
            </a:ln>
          </spPr>
          <cat>
            <strRef>
              <f>'08 QCRA Tornado'!$B$6:$B$17</f>
              <strCache>
                <ptCount val="12"/>
                <pt idx="0">
                  <v>Market escalation</v>
                </pt>
                <pt idx="1">
                  <v>Design maturity gap</v>
                </pt>
                <pt idx="2">
                  <v>Scope growth</v>
                </pt>
                <pt idx="3">
                  <v>Productivity underperformance</v>
                </pt>
                <pt idx="4">
                  <v>Supply chain delay</v>
                </pt>
                <pt idx="5">
                  <v>Interface misalignment</v>
                </pt>
                <pt idx="6">
                  <v>Commissioning delay</v>
                </pt>
                <pt idx="7">
                  <v>Permits / approvals delay</v>
                </pt>
                <pt idx="8">
                  <v>Weather / environmental disruption</v>
                </pt>
                <pt idx="9">
                  <v>Interface ownership gap</v>
                </pt>
                <pt idx="10">
                  <v>Commercial claims escalation</v>
                </pt>
                <pt idx="11">
                  <v>Cyber / controls integration</v>
                </pt>
              </strCache>
            </strRef>
          </cat>
          <val>
            <numRef>
              <f>'08 QCRA Tornado'!$D$6:$D$17</f>
              <numCache>
                <formatCode>General</formatCode>
                <ptCount val="12"/>
                <pt idx="0">
                  <v>0.14</v>
                </pt>
                <pt idx="1">
                  <v>0.107</v>
                </pt>
                <pt idx="2">
                  <v>0.105</v>
                </pt>
                <pt idx="3">
                  <v>0.08699999999999999</v>
                </pt>
                <pt idx="4">
                  <v>0.08699999999999999</v>
                </pt>
                <pt idx="5">
                  <v>0.074</v>
                </pt>
                <pt idx="6">
                  <v>0.06</v>
                </pt>
                <pt idx="7">
                  <v>0.044</v>
                </pt>
                <pt idx="8">
                  <v>0.026</v>
                </pt>
                <pt idx="9">
                  <v>0.021</v>
                </pt>
                <pt idx="10">
                  <v>0.02</v>
                </pt>
                <pt idx="11">
                  <v>0.018</v>
                </pt>
              </numCache>
            </numRef>
          </val>
        </ser>
        <gapWidth val="150"/>
        <axId val="50050001"/>
        <axId val="50050002"/>
      </barChart>
      <catAx>
        <axId val="50050001"/>
        <scaling>
          <orientation val="minMax"/>
        </scaling>
        <axPos val="l"/>
        <majorTickMark val="none"/>
        <minorTickMark val="none"/>
        <tickLblPos val="nextTo"/>
        <crossAx val="50050002"/>
        <crosses val="autoZero"/>
        <auto val="1"/>
        <lblAlgn val="ctr"/>
        <lblOffset val="100"/>
      </catAx>
      <valAx>
        <axId val="50050002"/>
        <scaling>
          <orientation val="minMax"/>
        </scaling>
        <axPos val="b"/>
        <majorGridlines/>
        <numFmt formatCode="General" sourceLinked="1"/>
        <majorTickMark val="none"/>
        <minorTickMark val="none"/>
        <tickLblPos val="nextTo"/>
        <crossAx val="50050001"/>
        <crosses val="autoZero"/>
        <crossBetween val="between"/>
      </valAx>
    </plotArea>
    <legend>
      <legendPos val="r"/>
      <layout/>
    </legend>
    <plotVisOnly val="1"/>
    <dispBlanksAs val="gap"/>
  </chart>
</chartSpace>
</file>

<file path=xl/charts/chart6.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QSRA Schedule Tornado</a:t>
            </a:r>
          </a:p>
        </rich>
      </tx>
      <layout/>
    </title>
    <plotArea>
      <layout/>
      <barChart>
        <barDir val="bar"/>
        <grouping val="clustered"/>
        <ser>
          <idx val="0"/>
          <order val="0"/>
          <tx>
            <v>Mean Days</v>
          </tx>
          <spPr>
            <a:ln xmlns:a="http://schemas.openxmlformats.org/drawingml/2006/main">
              <a:prstDash val="solid"/>
            </a:ln>
          </spPr>
          <cat>
            <strRef>
              <f>'09 QSRA Tornado'!$B$6:$B$17</f>
              <strCache>
                <ptCount val="12"/>
                <pt idx="0">
                  <v>Permits / approvals delay</v>
                </pt>
                <pt idx="1">
                  <v>Quality failure / rework</v>
                </pt>
                <pt idx="2">
                  <v>Scope growth</v>
                </pt>
                <pt idx="3">
                  <v>Productivity underperformance</v>
                </pt>
                <pt idx="4">
                  <v>Design maturity gap</v>
                </pt>
                <pt idx="5">
                  <v>Data / estimate basis weakness</v>
                </pt>
                <pt idx="6">
                  <v>Supply chain delay</v>
                </pt>
                <pt idx="7">
                  <v>Resource availability</v>
                </pt>
                <pt idx="8">
                  <v>Commissioning readiness gap</v>
                </pt>
                <pt idx="9">
                  <v>Interface misalignment</v>
                </pt>
                <pt idx="10">
                  <v>Weather / environmental disruption</v>
                </pt>
                <pt idx="11">
                  <v>Commercial claims escalation</v>
                </pt>
              </strCache>
            </strRef>
          </cat>
          <val>
            <numRef>
              <f>'09 QSRA Tornado'!$D$6:$D$17</f>
              <numCache>
                <formatCode>General</formatCode>
                <ptCount val="12"/>
                <pt idx="0">
                  <v>24.5</v>
                </pt>
                <pt idx="1">
                  <v>19</v>
                </pt>
                <pt idx="2">
                  <v>18.9</v>
                </pt>
                <pt idx="3">
                  <v>17.5</v>
                </pt>
                <pt idx="4">
                  <v>17.1</v>
                </pt>
                <pt idx="5">
                  <v>17</v>
                </pt>
                <pt idx="6">
                  <v>16</v>
                </pt>
                <pt idx="7">
                  <v>14.9</v>
                </pt>
                <pt idx="8">
                  <v>13.2</v>
                </pt>
                <pt idx="9">
                  <v>11.9</v>
                </pt>
                <pt idx="10">
                  <v>11.9</v>
                </pt>
                <pt idx="11">
                  <v>11.4</v>
                </pt>
              </numCache>
            </numRef>
          </val>
        </ser>
        <gapWidth val="150"/>
        <axId val="50060001"/>
        <axId val="50060002"/>
      </barChart>
      <catAx>
        <axId val="50060001"/>
        <scaling>
          <orientation val="minMax"/>
        </scaling>
        <axPos val="l"/>
        <majorTickMark val="none"/>
        <minorTickMark val="none"/>
        <tickLblPos val="nextTo"/>
        <crossAx val="50060002"/>
        <crosses val="autoZero"/>
        <auto val="1"/>
        <lblAlgn val="ctr"/>
        <lblOffset val="100"/>
      </catAx>
      <valAx>
        <axId val="50060002"/>
        <scaling>
          <orientation val="minMax"/>
        </scaling>
        <axPos val="b"/>
        <majorGridlines/>
        <numFmt formatCode="General" sourceLinked="1"/>
        <majorTickMark val="none"/>
        <minorTickMark val="none"/>
        <tickLblPos val="nextTo"/>
        <crossAx val="50060001"/>
        <crosses val="autoZero"/>
        <crossBetween val="between"/>
      </valAx>
    </plotArea>
    <legend>
      <legendPos val="r"/>
      <layout/>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_rels/drawing4.xml.rels><Relationships xmlns="http://schemas.openxmlformats.org/package/2006/relationships"><Relationship Type="http://schemas.openxmlformats.org/officeDocument/2006/relationships/chart" Target="/xl/charts/chart4.xml" Id="rId1"/></Relationships>
</file>

<file path=xl/drawings/_rels/drawing5.xml.rels><Relationships xmlns="http://schemas.openxmlformats.org/package/2006/relationships"><Relationship Type="http://schemas.openxmlformats.org/officeDocument/2006/relationships/chart" Target="/xl/charts/chart5.xml" Id="rId1"/></Relationships>
</file>

<file path=xl/drawings/_rels/drawing6.xml.rels><Relationships xmlns="http://schemas.openxmlformats.org/package/2006/relationships"><Relationship Type="http://schemas.openxmlformats.org/officeDocument/2006/relationships/chart" Target="/xl/charts/chart6.xml" Id="rId1"/></Relationships>
</file>

<file path=xl/drawings/drawing1.xml><?xml version="1.0" encoding="utf-8"?>
<wsDr xmlns="http://schemas.openxmlformats.org/drawingml/2006/spreadsheetDrawing">
  <twoCellAnchor>
    <from>
      <col>3</col>
      <colOff>0</colOff>
      <row>16</row>
      <rowOff>0</rowOff>
    </from>
    <to>
      <col>12</col>
      <colOff>0</colOff>
      <row>31</row>
      <rowOff>161925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2.xml><?xml version="1.0" encoding="utf-8"?>
<wsDr xmlns="http://schemas.openxmlformats.org/drawingml/2006/spreadsheetDrawing">
  <twoCellAnchor>
    <from>
      <col>9</col>
      <colOff>0</colOff>
      <row>3</row>
      <rowOff>0</rowOff>
    </from>
    <to>
      <col>18</col>
      <colOff>457200</colOff>
      <row>20</row>
      <rowOff>57150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3.xml><?xml version="1.0" encoding="utf-8"?>
<wsDr xmlns="http://schemas.openxmlformats.org/drawingml/2006/spreadsheetDrawing">
  <twoCellAnchor>
    <from>
      <col>3</col>
      <colOff>0</colOff>
      <row>3</row>
      <rowOff>0</rowOff>
    </from>
    <to>
      <col>13</col>
      <colOff>304800</colOff>
      <row>20</row>
      <rowOff>57150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4.xml><?xml version="1.0" encoding="utf-8"?>
<wsDr xmlns="http://schemas.openxmlformats.org/drawingml/2006/spreadsheetDrawing">
  <twoCellAnchor>
    <from>
      <col>3</col>
      <colOff>0</colOff>
      <row>3</row>
      <rowOff>0</rowOff>
    </from>
    <to>
      <col>13</col>
      <colOff>304800</colOff>
      <row>20</row>
      <rowOff>57150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5.xml><?xml version="1.0" encoding="utf-8"?>
<wsDr xmlns="http://schemas.openxmlformats.org/drawingml/2006/spreadsheetDrawing">
  <twoCellAnchor>
    <from>
      <col>6</col>
      <colOff>0</colOff>
      <row>3</row>
      <rowOff>0</rowOff>
    </from>
    <to>
      <col>16</col>
      <colOff>304800</colOff>
      <row>23</row>
      <rowOff>28575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6.xml><?xml version="1.0" encoding="utf-8"?>
<wsDr xmlns="http://schemas.openxmlformats.org/drawingml/2006/spreadsheetDrawing">
  <twoCellAnchor>
    <from>
      <col>6</col>
      <colOff>0</colOff>
      <row>3</row>
      <rowOff>0</rowOff>
    </from>
    <to>
      <col>16</col>
      <colOff>304800</colOff>
      <row>23</row>
      <rowOff>28575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6.xml.rels><Relationships xmlns="http://schemas.openxmlformats.org/package/2006/relationships"><Relationship Type="http://schemas.openxmlformats.org/officeDocument/2006/relationships/drawing" Target="/xl/drawings/drawing3.xml" Id="rId1"/></Relationships>
</file>

<file path=xl/worksheets/_rels/sheet7.xml.rels><Relationships xmlns="http://schemas.openxmlformats.org/package/2006/relationships"><Relationship Type="http://schemas.openxmlformats.org/officeDocument/2006/relationships/drawing" Target="/xl/drawings/drawing4.xml" Id="rId1"/></Relationships>
</file>

<file path=xl/worksheets/_rels/sheet8.xml.rels><Relationships xmlns="http://schemas.openxmlformats.org/package/2006/relationships"><Relationship Type="http://schemas.openxmlformats.org/officeDocument/2006/relationships/drawing" Target="/xl/drawings/drawing5.xml" Id="rId1"/></Relationships>
</file>

<file path=xl/worksheets/_rels/sheet9.xml.rels><Relationships xmlns="http://schemas.openxmlformats.org/package/2006/relationships"><Relationship Type="http://schemas.openxmlformats.org/officeDocument/2006/relationships/drawing" Target="/xl/drawings/drawing6.xml" Id="rId1"/></Relationships>
</file>

<file path=xl/worksheets/sheet1.xml><?xml version="1.0" encoding="utf-8"?>
<worksheet xmlns="http://schemas.openxmlformats.org/spreadsheetml/2006/main">
  <sheetPr>
    <outlinePr summaryBelow="1" summaryRight="1"/>
    <pageSetUpPr/>
  </sheetPr>
  <dimension ref="A1:H21"/>
  <sheetViews>
    <sheetView showGridLines="0" tabSelected="1" zoomScale="90" zoomScaleNormal="90" workbookViewId="0">
      <pane ySplit="5" topLeftCell="A6" activePane="bottomLeft" state="frozen"/>
      <selection pane="bottomLeft" activeCell="A1" sqref="A1"/>
    </sheetView>
  </sheetViews>
  <sheetFormatPr baseColWidth="8" defaultRowHeight="15"/>
  <cols>
    <col width="18.7109375" customWidth="1" min="1" max="1"/>
    <col width="16.7109375" customWidth="1" min="2" max="2"/>
  </cols>
  <sheetData>
    <row r="1">
      <c r="A1" s="1" t="inlineStr">
        <is>
          <t>CASEY PLATINUM COST + RISK MODEL</t>
        </is>
      </c>
    </row>
    <row r="2">
      <c r="A2" s="2" t="inlineStr">
        <is>
          <t>Major Infrastructure Programme | Base scenario | Class 3 | Schedule Level 4</t>
        </is>
      </c>
    </row>
    <row r="5">
      <c r="A5" s="3" t="inlineStr">
        <is>
          <t>P50 Cost</t>
        </is>
      </c>
      <c r="B5" s="10" t="n"/>
      <c r="D5" s="3" t="inlineStr">
        <is>
          <t>Cost Range</t>
        </is>
      </c>
      <c r="E5" s="10" t="n"/>
      <c r="G5" s="3" t="inlineStr">
        <is>
          <t>QCRA P80</t>
        </is>
      </c>
      <c r="H5" s="10" t="n"/>
    </row>
    <row r="6">
      <c r="A6" s="4" t="inlineStr">
        <is>
          <t>$3.1B</t>
        </is>
      </c>
      <c r="B6" s="10" t="n"/>
      <c r="D6" s="4" t="inlineStr">
        <is>
          <t>$2.6B - $4.6B</t>
        </is>
      </c>
      <c r="E6" s="10" t="n"/>
      <c r="G6" s="4" t="inlineStr">
        <is>
          <t>$4.0B</t>
        </is>
      </c>
      <c r="H6" s="10" t="n"/>
    </row>
    <row r="8">
      <c r="A8" s="3" t="inlineStr">
        <is>
          <t>Schedule</t>
        </is>
      </c>
      <c r="B8" s="10" t="n"/>
      <c r="D8" s="3" t="inlineStr">
        <is>
          <t>QSRA P80</t>
        </is>
      </c>
      <c r="E8" s="10" t="n"/>
      <c r="G8" s="3" t="inlineStr">
        <is>
          <t>Risk / Confidence</t>
        </is>
      </c>
      <c r="H8" s="10" t="n"/>
    </row>
    <row r="9">
      <c r="A9" s="4" t="inlineStr">
        <is>
          <t>57 months</t>
        </is>
      </c>
      <c r="B9" s="10" t="n"/>
      <c r="D9" s="4" t="inlineStr">
        <is>
          <t>74 mo</t>
        </is>
      </c>
      <c r="E9" s="10" t="n"/>
      <c r="G9" s="4" t="inlineStr">
        <is>
          <t>Medium-High / 68%</t>
        </is>
      </c>
      <c r="H9" s="10" t="n"/>
    </row>
    <row r="12">
      <c r="A12" s="5" t="inlineStr">
        <is>
          <t>Executive recommendation</t>
        </is>
      </c>
    </row>
    <row r="13">
      <c r="A13" s="4" t="inlineStr">
        <is>
          <t>APPROVE DEFINITION PHASE — DO NOT COMMIT FULL CAPITAL YET</t>
        </is>
      </c>
      <c r="B13" s="11" t="n"/>
      <c r="C13" s="11" t="n"/>
      <c r="D13" s="11" t="n"/>
      <c r="E13" s="11" t="n"/>
      <c r="F13" s="11" t="n"/>
      <c r="G13" s="11" t="n"/>
      <c r="H13" s="10" t="n"/>
    </row>
    <row r="14">
      <c r="A14" s="6" t="inlineStr">
        <is>
          <t>Balanced reference case for first-pass board challenge, option testing and contractor / consultant assurance. Use as the control baseline. Validate evidence before approving full capital.</t>
        </is>
      </c>
      <c r="B14" s="12" t="n"/>
      <c r="C14" s="12" t="n"/>
      <c r="D14" s="12" t="n"/>
      <c r="E14" s="12" t="n"/>
      <c r="F14" s="12" t="n"/>
      <c r="G14" s="12" t="n"/>
      <c r="H14" s="13" t="n"/>
    </row>
    <row r="15">
      <c r="A15" s="14" t="n"/>
      <c r="B15" s="15" t="n"/>
      <c r="C15" s="15" t="n"/>
      <c r="D15" s="15" t="n"/>
      <c r="E15" s="15" t="n"/>
      <c r="F15" s="15" t="n"/>
      <c r="G15" s="15" t="n"/>
      <c r="H15" s="16" t="n"/>
    </row>
    <row r="18">
      <c r="A18" s="7" t="inlineStr">
        <is>
          <t>Cost Type</t>
        </is>
      </c>
      <c r="B18" s="7" t="inlineStr">
        <is>
          <t>P50 $B</t>
        </is>
      </c>
    </row>
    <row r="19">
      <c r="A19" s="6" t="inlineStr">
        <is>
          <t>Direct</t>
        </is>
      </c>
      <c r="B19" s="8" t="n">
        <v>2.403</v>
      </c>
    </row>
    <row r="20">
      <c r="A20" s="6" t="inlineStr">
        <is>
          <t>Indirect</t>
        </is>
      </c>
      <c r="B20" s="8" t="n">
        <v>0.53</v>
      </c>
    </row>
    <row r="21">
      <c r="A21" s="6" t="inlineStr">
        <is>
          <t>Reserve</t>
        </is>
      </c>
      <c r="B21" s="8" t="n">
        <v>0.281</v>
      </c>
    </row>
  </sheetData>
  <mergeCells count="16">
    <mergeCell ref="D8:E8"/>
    <mergeCell ref="D6:E6"/>
    <mergeCell ref="A1:H1"/>
    <mergeCell ref="A6:B6"/>
    <mergeCell ref="A2:H2"/>
    <mergeCell ref="A9:B9"/>
    <mergeCell ref="D5:E5"/>
    <mergeCell ref="A5:B5"/>
    <mergeCell ref="G5:H5"/>
    <mergeCell ref="A13:H13"/>
    <mergeCell ref="G6:H6"/>
    <mergeCell ref="A14:H15"/>
    <mergeCell ref="G8:H8"/>
    <mergeCell ref="G9:H9"/>
    <mergeCell ref="D9:E9"/>
    <mergeCell ref="A8:B8"/>
  </mergeCells>
  <pageMargins left="0.3" right="0.3" top="0.4" bottom="0.4" header="0.3" footer="0.3"/>
  <pageSetup orientation="landscape"/>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H18"/>
  <sheetViews>
    <sheetView showGridLines="0" zoomScale="90" zoomScaleNormal="90" workbookViewId="0">
      <pane ySplit="5" topLeftCell="A6" activePane="bottomLeft" state="frozen"/>
      <selection pane="bottomLeft" activeCell="A1" sqref="A1"/>
    </sheetView>
  </sheetViews>
  <sheetFormatPr baseColWidth="8" defaultRowHeight="15"/>
  <cols>
    <col width="10.7109375" customWidth="1" min="1" max="1"/>
    <col width="28.7109375" customWidth="1" min="2" max="2"/>
    <col width="13.7109375" customWidth="1" min="3" max="3"/>
    <col width="34.7109375" customWidth="1" min="4" max="4"/>
    <col width="12.7109375" customWidth="1" min="5" max="7"/>
    <col width="46.7109375" customWidth="1" min="8" max="8"/>
  </cols>
  <sheetData>
    <row r="1">
      <c r="A1" s="1" t="inlineStr">
        <is>
          <t>SELECTED CLASS 3 COST ESTIMATE — BASE SCENARIO</t>
        </is>
      </c>
    </row>
    <row r="5">
      <c r="A5" s="7" t="inlineStr">
        <is>
          <t>CBS</t>
        </is>
      </c>
      <c r="B5" s="7" t="inlineStr">
        <is>
          <t>Description</t>
        </is>
      </c>
      <c r="C5" s="7" t="inlineStr">
        <is>
          <t>Type</t>
        </is>
      </c>
      <c r="D5" s="7" t="inlineStr">
        <is>
          <t>Basis</t>
        </is>
      </c>
      <c r="E5" s="7" t="inlineStr">
        <is>
          <t>P10 $B</t>
        </is>
      </c>
      <c r="F5" s="7" t="inlineStr">
        <is>
          <t>P50 $B</t>
        </is>
      </c>
      <c r="G5" s="7" t="inlineStr">
        <is>
          <t>P90 $B</t>
        </is>
      </c>
      <c r="H5" s="7" t="inlineStr">
        <is>
          <t>Challenge / Basis</t>
        </is>
      </c>
    </row>
    <row r="6">
      <c r="A6" s="6" t="inlineStr">
        <is>
          <t>01.01</t>
        </is>
      </c>
      <c r="B6" s="6" t="inlineStr">
        <is>
          <t>Site Preparation / Enabling</t>
        </is>
      </c>
      <c r="C6" s="6" t="inlineStr">
        <is>
          <t>Direct</t>
        </is>
      </c>
      <c r="D6" s="6" t="inlineStr">
        <is>
          <t>Demolition, enabling, logistics and access</t>
        </is>
      </c>
      <c r="E6" s="8" t="n">
        <v>0.15</v>
      </c>
      <c r="F6" s="8" t="n">
        <v>0.187</v>
      </c>
      <c r="G6" s="8" t="n">
        <v>0.243</v>
      </c>
      <c r="H6" s="6" t="inlineStr">
        <is>
          <t>Site Preparation / Enabling priced as 6.0% of P50 from sector template, location factor 1.00, scale factor 1.00, complexity factor 1.00.</t>
        </is>
      </c>
    </row>
    <row r="7">
      <c r="A7" s="6" t="inlineStr">
        <is>
          <t>01.02</t>
        </is>
      </c>
      <c r="B7" s="6" t="inlineStr">
        <is>
          <t>Substructure / Foundations</t>
        </is>
      </c>
      <c r="C7" s="6" t="inlineStr">
        <is>
          <t>Direct</t>
        </is>
      </c>
      <c r="D7" s="6" t="inlineStr">
        <is>
          <t>Piling, groundworks, retaining and foundations</t>
        </is>
      </c>
      <c r="E7" s="8" t="n">
        <v>0.2</v>
      </c>
      <c r="F7" s="8" t="n">
        <v>0.25</v>
      </c>
      <c r="G7" s="8" t="n">
        <v>0.325</v>
      </c>
      <c r="H7" s="6" t="inlineStr">
        <is>
          <t>Substructure / Foundations priced as 8.0% of P50 from sector template, location factor 1.00, scale factor 1.00, complexity factor 1.00.</t>
        </is>
      </c>
    </row>
    <row r="8">
      <c r="A8" s="6" t="inlineStr">
        <is>
          <t>01.03</t>
        </is>
      </c>
      <c r="B8" s="6" t="inlineStr">
        <is>
          <t>Superstructure / Civil Works</t>
        </is>
      </c>
      <c r="C8" s="6" t="inlineStr">
        <is>
          <t>Direct</t>
        </is>
      </c>
      <c r="D8" s="6" t="inlineStr">
        <is>
          <t>Frame, civils, primary structures</t>
        </is>
      </c>
      <c r="E8" s="8" t="n">
        <v>0.35</v>
      </c>
      <c r="F8" s="8" t="n">
        <v>0.437</v>
      </c>
      <c r="G8" s="8" t="n">
        <v>0.5679999999999999</v>
      </c>
      <c r="H8" s="6" t="inlineStr">
        <is>
          <t>Superstructure / Civil Works priced as 14.0% of P50 from sector template, location factor 1.00, scale factor 1.00, complexity factor 1.00.</t>
        </is>
      </c>
    </row>
    <row r="9">
      <c r="A9" s="6" t="inlineStr">
        <is>
          <t>01.04</t>
        </is>
      </c>
      <c r="B9" s="6" t="inlineStr">
        <is>
          <t>MEP / Systems / Utilities</t>
        </is>
      </c>
      <c r="C9" s="6" t="inlineStr">
        <is>
          <t>Direct</t>
        </is>
      </c>
      <c r="D9" s="6" t="inlineStr">
        <is>
          <t>Mechanical, electrical, controls and utilities</t>
        </is>
      </c>
      <c r="E9" s="8" t="n">
        <v>0.35</v>
      </c>
      <c r="F9" s="8" t="n">
        <v>0.437</v>
      </c>
      <c r="G9" s="8" t="n">
        <v>0.5679999999999999</v>
      </c>
      <c r="H9" s="6" t="inlineStr">
        <is>
          <t>MEP / Systems / Utilities priced as 14.0% of P50 from sector template, location factor 1.00, scale factor 1.00, complexity factor 1.00.</t>
        </is>
      </c>
    </row>
    <row r="10">
      <c r="A10" s="6" t="inlineStr">
        <is>
          <t>01.05</t>
        </is>
      </c>
      <c r="B10" s="6" t="inlineStr">
        <is>
          <t>Specialist Equipment / Fit-Out</t>
        </is>
      </c>
      <c r="C10" s="6" t="inlineStr">
        <is>
          <t>Direct</t>
        </is>
      </c>
      <c r="D10" s="6" t="inlineStr">
        <is>
          <t>Permanent equipment and specialist fit-out</t>
        </is>
      </c>
      <c r="E10" s="8" t="n">
        <v>0.299</v>
      </c>
      <c r="F10" s="8" t="n">
        <v>0.374</v>
      </c>
      <c r="G10" s="8" t="n">
        <v>0.486</v>
      </c>
      <c r="H10" s="6" t="inlineStr">
        <is>
          <t>Specialist Equipment / Fit-Out priced as 12.0% of P50 from sector template, location factor 1.00, scale factor 1.00, complexity factor 1.00.</t>
        </is>
      </c>
    </row>
    <row r="11">
      <c r="A11" s="6" t="inlineStr">
        <is>
          <t>01.09</t>
        </is>
      </c>
      <c r="B11" s="6" t="inlineStr">
        <is>
          <t>Direct Labour</t>
        </is>
      </c>
      <c r="C11" s="6" t="inlineStr">
        <is>
          <t>Direct</t>
        </is>
      </c>
      <c r="D11" s="6" t="inlineStr">
        <is>
          <t>Productivity, supervision and trade labour</t>
        </is>
      </c>
      <c r="E11" s="8" t="n">
        <v>0.225</v>
      </c>
      <c r="F11" s="8" t="n">
        <v>0.281</v>
      </c>
      <c r="G11" s="8" t="n">
        <v>0.365</v>
      </c>
      <c r="H11" s="6" t="inlineStr">
        <is>
          <t>Direct Labour priced as 9.0% of P50 from sector template, location factor 1.00, scale factor 1.00, complexity factor 1.00.</t>
        </is>
      </c>
    </row>
    <row r="12">
      <c r="A12" s="6" t="inlineStr">
        <is>
          <t>01.10</t>
        </is>
      </c>
      <c r="B12" s="6" t="inlineStr">
        <is>
          <t>Direct Materials</t>
        </is>
      </c>
      <c r="C12" s="6" t="inlineStr">
        <is>
          <t>Direct</t>
        </is>
      </c>
      <c r="D12" s="6" t="inlineStr">
        <is>
          <t>Concrete, steel, envelope, MEP materials</t>
        </is>
      </c>
      <c r="E12" s="8" t="n">
        <v>0.25</v>
      </c>
      <c r="F12" s="8" t="n">
        <v>0.312</v>
      </c>
      <c r="G12" s="8" t="n">
        <v>0.406</v>
      </c>
      <c r="H12" s="6" t="inlineStr">
        <is>
          <t>Direct Materials priced as 10.0% of P50 from sector template, location factor 1.00, scale factor 1.00, complexity factor 1.00.</t>
        </is>
      </c>
    </row>
    <row r="13">
      <c r="A13" s="6" t="inlineStr">
        <is>
          <t>01.11</t>
        </is>
      </c>
      <c r="B13" s="6" t="inlineStr">
        <is>
          <t>Plant / Equipment</t>
        </is>
      </c>
      <c r="C13" s="6" t="inlineStr">
        <is>
          <t>Direct</t>
        </is>
      </c>
      <c r="D13" s="6" t="inlineStr">
        <is>
          <t>Cranes, heavy plant and site equipment</t>
        </is>
      </c>
      <c r="E13" s="8" t="n">
        <v>0.1</v>
      </c>
      <c r="F13" s="8" t="n">
        <v>0.125</v>
      </c>
      <c r="G13" s="8" t="n">
        <v>0.163</v>
      </c>
      <c r="H13" s="6" t="inlineStr">
        <is>
          <t>Plant / Equipment priced as 4.0% of P50 from sector template, location factor 1.00, scale factor 1.00, complexity factor 1.00.</t>
        </is>
      </c>
    </row>
    <row r="14">
      <c r="A14" s="6" t="inlineStr">
        <is>
          <t>02.01</t>
        </is>
      </c>
      <c r="B14" s="6" t="inlineStr">
        <is>
          <t>General Conditions / Prelims</t>
        </is>
      </c>
      <c r="C14" s="6" t="inlineStr">
        <is>
          <t>Indirect</t>
        </is>
      </c>
      <c r="D14" s="6" t="inlineStr">
        <is>
          <t>Site management, safety, offices and temporary services</t>
        </is>
      </c>
      <c r="E14" s="8" t="n">
        <v>0.174</v>
      </c>
      <c r="F14" s="8" t="n">
        <v>0.218</v>
      </c>
      <c r="G14" s="8" t="n">
        <v>0.283</v>
      </c>
      <c r="H14" s="6" t="inlineStr">
        <is>
          <t>General Conditions / Prelims priced as 7.0% of P50 from sector template, location factor 1.00, scale factor 1.00, complexity factor 1.00.</t>
        </is>
      </c>
    </row>
    <row r="15">
      <c r="A15" s="6" t="inlineStr">
        <is>
          <t>02.02</t>
        </is>
      </c>
      <c r="B15" s="6" t="inlineStr">
        <is>
          <t>Design / Professional Fees</t>
        </is>
      </c>
      <c r="C15" s="6" t="inlineStr">
        <is>
          <t>Indirect</t>
        </is>
      </c>
      <c r="D15" s="6" t="inlineStr">
        <is>
          <t>Design, QS, controls, assurance and consultants</t>
        </is>
      </c>
      <c r="E15" s="8" t="n">
        <v>0.174</v>
      </c>
      <c r="F15" s="8" t="n">
        <v>0.218</v>
      </c>
      <c r="G15" s="8" t="n">
        <v>0.283</v>
      </c>
      <c r="H15" s="6" t="inlineStr">
        <is>
          <t>Design / Professional Fees priced as 7.0% of P50 from sector template, location factor 1.00, scale factor 1.00, complexity factor 1.00.</t>
        </is>
      </c>
    </row>
    <row r="16">
      <c r="A16" s="6" t="inlineStr">
        <is>
          <t>02.03</t>
        </is>
      </c>
      <c r="B16" s="6" t="inlineStr">
        <is>
          <t>Permits / Insurance / Bonds</t>
        </is>
      </c>
      <c r="C16" s="6" t="inlineStr">
        <is>
          <t>Indirect</t>
        </is>
      </c>
      <c r="D16" s="6" t="inlineStr">
        <is>
          <t>Permits, inspections, legal, bonds and insurance</t>
        </is>
      </c>
      <c r="E16" s="8" t="n">
        <v>0.075</v>
      </c>
      <c r="F16" s="8" t="n">
        <v>0.094</v>
      </c>
      <c r="G16" s="8" t="n">
        <v>0.122</v>
      </c>
      <c r="H16" s="6" t="inlineStr">
        <is>
          <t>Permits / Insurance / Bonds priced as 3.0% of P50 from sector template, location factor 1.00, scale factor 1.00, complexity factor 1.00.</t>
        </is>
      </c>
    </row>
    <row r="17">
      <c r="A17" s="6" t="inlineStr">
        <is>
          <t>03.01</t>
        </is>
      </c>
      <c r="B17" s="6" t="inlineStr">
        <is>
          <t>QCRA Contingency</t>
        </is>
      </c>
      <c r="C17" s="6" t="inlineStr">
        <is>
          <t>Reserve</t>
        </is>
      </c>
      <c r="D17" s="6" t="inlineStr">
        <is>
          <t>Known-unknown risk allowance</t>
        </is>
      </c>
      <c r="E17" s="8" t="n">
        <v>0.15</v>
      </c>
      <c r="F17" s="8" t="n">
        <v>0.187</v>
      </c>
      <c r="G17" s="8" t="n">
        <v>0.243</v>
      </c>
      <c r="H17" s="6" t="inlineStr">
        <is>
          <t>QCRA Contingency priced as 6.0% of P50 from sector template, location factor 1.00, scale factor 1.00, complexity factor 1.00.</t>
        </is>
      </c>
    </row>
    <row r="18">
      <c r="A18" s="6" t="inlineStr">
        <is>
          <t>03.02</t>
        </is>
      </c>
      <c r="B18" s="6" t="inlineStr">
        <is>
          <t>Management Reserve</t>
        </is>
      </c>
      <c r="C18" s="6" t="inlineStr">
        <is>
          <t>Reserve</t>
        </is>
      </c>
      <c r="D18" s="6" t="inlineStr">
        <is>
          <t>Sponsor-held reserve</t>
        </is>
      </c>
      <c r="E18" s="8" t="n">
        <v>0.075</v>
      </c>
      <c r="F18" s="8" t="n">
        <v>0.094</v>
      </c>
      <c r="G18" s="8" t="n">
        <v>0.122</v>
      </c>
      <c r="H18" s="6" t="inlineStr">
        <is>
          <t>Management Reserve priced as 3.0% of P50 from sector template, location factor 1.00, scale factor 1.00, complexity factor 1.00.</t>
        </is>
      </c>
    </row>
  </sheetData>
  <mergeCells count="1">
    <mergeCell ref="A1:H1"/>
  </mergeCells>
  <pageMargins left="0.3" right="0.3" top="0.4" bottom="0.4" header="0.3" footer="0.3"/>
  <pageSetup orientation="landscape"/>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I70"/>
  <sheetViews>
    <sheetView showGridLines="0" zoomScale="90" zoomScaleNormal="90" workbookViewId="0">
      <pane ySplit="5" topLeftCell="A6" activePane="bottomLeft" state="frozen"/>
      <selection pane="bottomLeft" activeCell="A1" sqref="A1"/>
    </sheetView>
  </sheetViews>
  <sheetFormatPr baseColWidth="8" defaultRowHeight="15"/>
  <cols>
    <col width="8.7109375" customWidth="1" min="1" max="1"/>
    <col width="26.7109375" customWidth="1" min="2" max="3"/>
    <col width="9.7109375" customWidth="1" min="4" max="4"/>
    <col width="28.7109375" customWidth="1" min="5" max="5"/>
    <col width="12.7109375" customWidth="1" min="6" max="9"/>
  </cols>
  <sheetData>
    <row r="1">
      <c r="A1" s="1" t="inlineStr">
        <is>
          <t>ALL COST ESTIMATE CLASSES — NO CLASS DUMP WITHOUT CONTEXT</t>
        </is>
      </c>
    </row>
    <row r="5">
      <c r="A5" s="7" t="inlineStr">
        <is>
          <t>Class</t>
        </is>
      </c>
      <c r="B5" s="7" t="inlineStr">
        <is>
          <t>Class Name</t>
        </is>
      </c>
      <c r="C5" s="7" t="inlineStr">
        <is>
          <t>Maturity</t>
        </is>
      </c>
      <c r="D5" s="7" t="inlineStr">
        <is>
          <t>CBS</t>
        </is>
      </c>
      <c r="E5" s="7" t="inlineStr">
        <is>
          <t>Description</t>
        </is>
      </c>
      <c r="F5" s="7" t="inlineStr">
        <is>
          <t>Type</t>
        </is>
      </c>
      <c r="G5" s="7" t="inlineStr">
        <is>
          <t>P10 $B</t>
        </is>
      </c>
      <c r="H5" s="7" t="inlineStr">
        <is>
          <t>P50 $B</t>
        </is>
      </c>
      <c r="I5" s="7" t="inlineStr">
        <is>
          <t>P90 $B</t>
        </is>
      </c>
    </row>
    <row r="6">
      <c r="A6" s="6" t="n">
        <v>1</v>
      </c>
      <c r="B6" s="6" t="inlineStr">
        <is>
          <t>Class 1 Definitive/Bid</t>
        </is>
      </c>
      <c r="C6" s="6" t="inlineStr">
        <is>
          <t>65-100% definition maturity</t>
        </is>
      </c>
      <c r="D6" s="6" t="inlineStr">
        <is>
          <t>01.01</t>
        </is>
      </c>
      <c r="E6" s="6" t="inlineStr">
        <is>
          <t>Site Preparation / Enabling</t>
        </is>
      </c>
      <c r="F6" s="6" t="inlineStr">
        <is>
          <t>Direct</t>
        </is>
      </c>
      <c r="G6" s="8" t="n">
        <v>0.168</v>
      </c>
      <c r="H6" s="8" t="n">
        <v>0.187</v>
      </c>
      <c r="I6" s="8" t="n">
        <v>0.215</v>
      </c>
    </row>
    <row r="7">
      <c r="A7" s="6" t="n">
        <v>1</v>
      </c>
      <c r="B7" s="6" t="inlineStr">
        <is>
          <t>Class 1 Definitive/Bid</t>
        </is>
      </c>
      <c r="C7" s="6" t="inlineStr">
        <is>
          <t>65-100% definition maturity</t>
        </is>
      </c>
      <c r="D7" s="6" t="inlineStr">
        <is>
          <t>01.02</t>
        </is>
      </c>
      <c r="E7" s="6" t="inlineStr">
        <is>
          <t>Substructure / Foundations</t>
        </is>
      </c>
      <c r="F7" s="6" t="inlineStr">
        <is>
          <t>Direct</t>
        </is>
      </c>
      <c r="G7" s="8" t="n">
        <v>0.225</v>
      </c>
      <c r="H7" s="8" t="n">
        <v>0.25</v>
      </c>
      <c r="I7" s="8" t="n">
        <v>0.287</v>
      </c>
    </row>
    <row r="8">
      <c r="A8" s="6" t="n">
        <v>1</v>
      </c>
      <c r="B8" s="6" t="inlineStr">
        <is>
          <t>Class 1 Definitive/Bid</t>
        </is>
      </c>
      <c r="C8" s="6" t="inlineStr">
        <is>
          <t>65-100% definition maturity</t>
        </is>
      </c>
      <c r="D8" s="6" t="inlineStr">
        <is>
          <t>01.03</t>
        </is>
      </c>
      <c r="E8" s="6" t="inlineStr">
        <is>
          <t>Superstructure / Civil Works</t>
        </is>
      </c>
      <c r="F8" s="6" t="inlineStr">
        <is>
          <t>Direct</t>
        </is>
      </c>
      <c r="G8" s="8" t="n">
        <v>0.393</v>
      </c>
      <c r="H8" s="8" t="n">
        <v>0.437</v>
      </c>
      <c r="I8" s="8" t="n">
        <v>0.503</v>
      </c>
    </row>
    <row r="9">
      <c r="A9" s="6" t="n">
        <v>1</v>
      </c>
      <c r="B9" s="6" t="inlineStr">
        <is>
          <t>Class 1 Definitive/Bid</t>
        </is>
      </c>
      <c r="C9" s="6" t="inlineStr">
        <is>
          <t>65-100% definition maturity</t>
        </is>
      </c>
      <c r="D9" s="6" t="inlineStr">
        <is>
          <t>01.04</t>
        </is>
      </c>
      <c r="E9" s="6" t="inlineStr">
        <is>
          <t>MEP / Systems / Utilities</t>
        </is>
      </c>
      <c r="F9" s="6" t="inlineStr">
        <is>
          <t>Direct</t>
        </is>
      </c>
      <c r="G9" s="8" t="n">
        <v>0.393</v>
      </c>
      <c r="H9" s="8" t="n">
        <v>0.437</v>
      </c>
      <c r="I9" s="8" t="n">
        <v>0.503</v>
      </c>
    </row>
    <row r="10">
      <c r="A10" s="6" t="n">
        <v>1</v>
      </c>
      <c r="B10" s="6" t="inlineStr">
        <is>
          <t>Class 1 Definitive/Bid</t>
        </is>
      </c>
      <c r="C10" s="6" t="inlineStr">
        <is>
          <t>65-100% definition maturity</t>
        </is>
      </c>
      <c r="D10" s="6" t="inlineStr">
        <is>
          <t>01.05</t>
        </is>
      </c>
      <c r="E10" s="6" t="inlineStr">
        <is>
          <t>Specialist Equipment / Fit-Out</t>
        </is>
      </c>
      <c r="F10" s="6" t="inlineStr">
        <is>
          <t>Direct</t>
        </is>
      </c>
      <c r="G10" s="8" t="n">
        <v>0.337</v>
      </c>
      <c r="H10" s="8" t="n">
        <v>0.374</v>
      </c>
      <c r="I10" s="8" t="n">
        <v>0.43</v>
      </c>
    </row>
    <row r="11">
      <c r="A11" s="6" t="n">
        <v>1</v>
      </c>
      <c r="B11" s="6" t="inlineStr">
        <is>
          <t>Class 1 Definitive/Bid</t>
        </is>
      </c>
      <c r="C11" s="6" t="inlineStr">
        <is>
          <t>65-100% definition maturity</t>
        </is>
      </c>
      <c r="D11" s="6" t="inlineStr">
        <is>
          <t>01.09</t>
        </is>
      </c>
      <c r="E11" s="6" t="inlineStr">
        <is>
          <t>Direct Labour</t>
        </is>
      </c>
      <c r="F11" s="6" t="inlineStr">
        <is>
          <t>Direct</t>
        </is>
      </c>
      <c r="G11" s="8" t="n">
        <v>0.253</v>
      </c>
      <c r="H11" s="8" t="n">
        <v>0.281</v>
      </c>
      <c r="I11" s="8" t="n">
        <v>0.323</v>
      </c>
    </row>
    <row r="12">
      <c r="A12" s="6" t="n">
        <v>1</v>
      </c>
      <c r="B12" s="6" t="inlineStr">
        <is>
          <t>Class 1 Definitive/Bid</t>
        </is>
      </c>
      <c r="C12" s="6" t="inlineStr">
        <is>
          <t>65-100% definition maturity</t>
        </is>
      </c>
      <c r="D12" s="6" t="inlineStr">
        <is>
          <t>01.10</t>
        </is>
      </c>
      <c r="E12" s="6" t="inlineStr">
        <is>
          <t>Direct Materials</t>
        </is>
      </c>
      <c r="F12" s="6" t="inlineStr">
        <is>
          <t>Direct</t>
        </is>
      </c>
      <c r="G12" s="8" t="n">
        <v>0.281</v>
      </c>
      <c r="H12" s="8" t="n">
        <v>0.312</v>
      </c>
      <c r="I12" s="8" t="n">
        <v>0.359</v>
      </c>
    </row>
    <row r="13">
      <c r="A13" s="6" t="n">
        <v>1</v>
      </c>
      <c r="B13" s="6" t="inlineStr">
        <is>
          <t>Class 1 Definitive/Bid</t>
        </is>
      </c>
      <c r="C13" s="6" t="inlineStr">
        <is>
          <t>65-100% definition maturity</t>
        </is>
      </c>
      <c r="D13" s="6" t="inlineStr">
        <is>
          <t>01.11</t>
        </is>
      </c>
      <c r="E13" s="6" t="inlineStr">
        <is>
          <t>Plant / Equipment</t>
        </is>
      </c>
      <c r="F13" s="6" t="inlineStr">
        <is>
          <t>Direct</t>
        </is>
      </c>
      <c r="G13" s="8" t="n">
        <v>0.113</v>
      </c>
      <c r="H13" s="8" t="n">
        <v>0.125</v>
      </c>
      <c r="I13" s="8" t="n">
        <v>0.144</v>
      </c>
    </row>
    <row r="14">
      <c r="A14" s="6" t="n">
        <v>1</v>
      </c>
      <c r="B14" s="6" t="inlineStr">
        <is>
          <t>Class 1 Definitive/Bid</t>
        </is>
      </c>
      <c r="C14" s="6" t="inlineStr">
        <is>
          <t>65-100% definition maturity</t>
        </is>
      </c>
      <c r="D14" s="6" t="inlineStr">
        <is>
          <t>02.01</t>
        </is>
      </c>
      <c r="E14" s="6" t="inlineStr">
        <is>
          <t>General Conditions / Prelims</t>
        </is>
      </c>
      <c r="F14" s="6" t="inlineStr">
        <is>
          <t>Indirect</t>
        </is>
      </c>
      <c r="G14" s="8" t="n">
        <v>0.196</v>
      </c>
      <c r="H14" s="8" t="n">
        <v>0.218</v>
      </c>
      <c r="I14" s="8" t="n">
        <v>0.251</v>
      </c>
    </row>
    <row r="15">
      <c r="A15" s="6" t="n">
        <v>1</v>
      </c>
      <c r="B15" s="6" t="inlineStr">
        <is>
          <t>Class 1 Definitive/Bid</t>
        </is>
      </c>
      <c r="C15" s="6" t="inlineStr">
        <is>
          <t>65-100% definition maturity</t>
        </is>
      </c>
      <c r="D15" s="6" t="inlineStr">
        <is>
          <t>02.02</t>
        </is>
      </c>
      <c r="E15" s="6" t="inlineStr">
        <is>
          <t>Design / Professional Fees</t>
        </is>
      </c>
      <c r="F15" s="6" t="inlineStr">
        <is>
          <t>Indirect</t>
        </is>
      </c>
      <c r="G15" s="8" t="n">
        <v>0.196</v>
      </c>
      <c r="H15" s="8" t="n">
        <v>0.218</v>
      </c>
      <c r="I15" s="8" t="n">
        <v>0.251</v>
      </c>
    </row>
    <row r="16">
      <c r="A16" s="6" t="n">
        <v>1</v>
      </c>
      <c r="B16" s="6" t="inlineStr">
        <is>
          <t>Class 1 Definitive/Bid</t>
        </is>
      </c>
      <c r="C16" s="6" t="inlineStr">
        <is>
          <t>65-100% definition maturity</t>
        </is>
      </c>
      <c r="D16" s="6" t="inlineStr">
        <is>
          <t>02.03</t>
        </is>
      </c>
      <c r="E16" s="6" t="inlineStr">
        <is>
          <t>Permits / Insurance / Bonds</t>
        </is>
      </c>
      <c r="F16" s="6" t="inlineStr">
        <is>
          <t>Indirect</t>
        </is>
      </c>
      <c r="G16" s="8" t="n">
        <v>0.08500000000000001</v>
      </c>
      <c r="H16" s="8" t="n">
        <v>0.094</v>
      </c>
      <c r="I16" s="8" t="n">
        <v>0.108</v>
      </c>
    </row>
    <row r="17">
      <c r="A17" s="6" t="n">
        <v>1</v>
      </c>
      <c r="B17" s="6" t="inlineStr">
        <is>
          <t>Class 1 Definitive/Bid</t>
        </is>
      </c>
      <c r="C17" s="6" t="inlineStr">
        <is>
          <t>65-100% definition maturity</t>
        </is>
      </c>
      <c r="D17" s="6" t="inlineStr">
        <is>
          <t>03.01</t>
        </is>
      </c>
      <c r="E17" s="6" t="inlineStr">
        <is>
          <t>QCRA Contingency</t>
        </is>
      </c>
      <c r="F17" s="6" t="inlineStr">
        <is>
          <t>Reserve</t>
        </is>
      </c>
      <c r="G17" s="8" t="n">
        <v>0.168</v>
      </c>
      <c r="H17" s="8" t="n">
        <v>0.187</v>
      </c>
      <c r="I17" s="8" t="n">
        <v>0.215</v>
      </c>
    </row>
    <row r="18">
      <c r="A18" s="6" t="n">
        <v>1</v>
      </c>
      <c r="B18" s="6" t="inlineStr">
        <is>
          <t>Class 1 Definitive/Bid</t>
        </is>
      </c>
      <c r="C18" s="6" t="inlineStr">
        <is>
          <t>65-100% definition maturity</t>
        </is>
      </c>
      <c r="D18" s="6" t="inlineStr">
        <is>
          <t>03.02</t>
        </is>
      </c>
      <c r="E18" s="6" t="inlineStr">
        <is>
          <t>Management Reserve</t>
        </is>
      </c>
      <c r="F18" s="6" t="inlineStr">
        <is>
          <t>Reserve</t>
        </is>
      </c>
      <c r="G18" s="8" t="n">
        <v>0.08500000000000001</v>
      </c>
      <c r="H18" s="8" t="n">
        <v>0.094</v>
      </c>
      <c r="I18" s="8" t="n">
        <v>0.108</v>
      </c>
    </row>
    <row r="19">
      <c r="A19" s="6" t="n">
        <v>2</v>
      </c>
      <c r="B19" s="6" t="inlineStr">
        <is>
          <t>Class 2 Control/Tender</t>
        </is>
      </c>
      <c r="C19" s="6" t="inlineStr">
        <is>
          <t>30-75% definition maturity</t>
        </is>
      </c>
      <c r="D19" s="6" t="inlineStr">
        <is>
          <t>01.01</t>
        </is>
      </c>
      <c r="E19" s="6" t="inlineStr">
        <is>
          <t>Site Preparation / Enabling</t>
        </is>
      </c>
      <c r="F19" s="6" t="inlineStr">
        <is>
          <t>Direct</t>
        </is>
      </c>
      <c r="G19" s="8" t="n">
        <v>0.159</v>
      </c>
      <c r="H19" s="8" t="n">
        <v>0.187</v>
      </c>
      <c r="I19" s="8" t="n">
        <v>0.224</v>
      </c>
    </row>
    <row r="20">
      <c r="A20" s="6" t="n">
        <v>2</v>
      </c>
      <c r="B20" s="6" t="inlineStr">
        <is>
          <t>Class 2 Control/Tender</t>
        </is>
      </c>
      <c r="C20" s="6" t="inlineStr">
        <is>
          <t>30-75% definition maturity</t>
        </is>
      </c>
      <c r="D20" s="6" t="inlineStr">
        <is>
          <t>01.02</t>
        </is>
      </c>
      <c r="E20" s="6" t="inlineStr">
        <is>
          <t>Substructure / Foundations</t>
        </is>
      </c>
      <c r="F20" s="6" t="inlineStr">
        <is>
          <t>Direct</t>
        </is>
      </c>
      <c r="G20" s="8" t="n">
        <v>0.212</v>
      </c>
      <c r="H20" s="8" t="n">
        <v>0.25</v>
      </c>
      <c r="I20" s="8" t="n">
        <v>0.3</v>
      </c>
    </row>
    <row r="21">
      <c r="A21" s="6" t="n">
        <v>2</v>
      </c>
      <c r="B21" s="6" t="inlineStr">
        <is>
          <t>Class 2 Control/Tender</t>
        </is>
      </c>
      <c r="C21" s="6" t="inlineStr">
        <is>
          <t>30-75% definition maturity</t>
        </is>
      </c>
      <c r="D21" s="6" t="inlineStr">
        <is>
          <t>01.03</t>
        </is>
      </c>
      <c r="E21" s="6" t="inlineStr">
        <is>
          <t>Superstructure / Civil Works</t>
        </is>
      </c>
      <c r="F21" s="6" t="inlineStr">
        <is>
          <t>Direct</t>
        </is>
      </c>
      <c r="G21" s="8" t="n">
        <v>0.371</v>
      </c>
      <c r="H21" s="8" t="n">
        <v>0.437</v>
      </c>
      <c r="I21" s="8" t="n">
        <v>0.524</v>
      </c>
    </row>
    <row r="22">
      <c r="A22" s="6" t="n">
        <v>2</v>
      </c>
      <c r="B22" s="6" t="inlineStr">
        <is>
          <t>Class 2 Control/Tender</t>
        </is>
      </c>
      <c r="C22" s="6" t="inlineStr">
        <is>
          <t>30-75% definition maturity</t>
        </is>
      </c>
      <c r="D22" s="6" t="inlineStr">
        <is>
          <t>01.04</t>
        </is>
      </c>
      <c r="E22" s="6" t="inlineStr">
        <is>
          <t>MEP / Systems / Utilities</t>
        </is>
      </c>
      <c r="F22" s="6" t="inlineStr">
        <is>
          <t>Direct</t>
        </is>
      </c>
      <c r="G22" s="8" t="n">
        <v>0.371</v>
      </c>
      <c r="H22" s="8" t="n">
        <v>0.437</v>
      </c>
      <c r="I22" s="8" t="n">
        <v>0.524</v>
      </c>
    </row>
    <row r="23">
      <c r="A23" s="6" t="n">
        <v>2</v>
      </c>
      <c r="B23" s="6" t="inlineStr">
        <is>
          <t>Class 2 Control/Tender</t>
        </is>
      </c>
      <c r="C23" s="6" t="inlineStr">
        <is>
          <t>30-75% definition maturity</t>
        </is>
      </c>
      <c r="D23" s="6" t="inlineStr">
        <is>
          <t>01.05</t>
        </is>
      </c>
      <c r="E23" s="6" t="inlineStr">
        <is>
          <t>Specialist Equipment / Fit-Out</t>
        </is>
      </c>
      <c r="F23" s="6" t="inlineStr">
        <is>
          <t>Direct</t>
        </is>
      </c>
      <c r="G23" s="8" t="n">
        <v>0.318</v>
      </c>
      <c r="H23" s="8" t="n">
        <v>0.374</v>
      </c>
      <c r="I23" s="8" t="n">
        <v>0.449</v>
      </c>
    </row>
    <row r="24">
      <c r="A24" s="6" t="n">
        <v>2</v>
      </c>
      <c r="B24" s="6" t="inlineStr">
        <is>
          <t>Class 2 Control/Tender</t>
        </is>
      </c>
      <c r="C24" s="6" t="inlineStr">
        <is>
          <t>30-75% definition maturity</t>
        </is>
      </c>
      <c r="D24" s="6" t="inlineStr">
        <is>
          <t>01.09</t>
        </is>
      </c>
      <c r="E24" s="6" t="inlineStr">
        <is>
          <t>Direct Labour</t>
        </is>
      </c>
      <c r="F24" s="6" t="inlineStr">
        <is>
          <t>Direct</t>
        </is>
      </c>
      <c r="G24" s="8" t="n">
        <v>0.239</v>
      </c>
      <c r="H24" s="8" t="n">
        <v>0.281</v>
      </c>
      <c r="I24" s="8" t="n">
        <v>0.337</v>
      </c>
    </row>
    <row r="25">
      <c r="A25" s="6" t="n">
        <v>2</v>
      </c>
      <c r="B25" s="6" t="inlineStr">
        <is>
          <t>Class 2 Control/Tender</t>
        </is>
      </c>
      <c r="C25" s="6" t="inlineStr">
        <is>
          <t>30-75% definition maturity</t>
        </is>
      </c>
      <c r="D25" s="6" t="inlineStr">
        <is>
          <t>01.10</t>
        </is>
      </c>
      <c r="E25" s="6" t="inlineStr">
        <is>
          <t>Direct Materials</t>
        </is>
      </c>
      <c r="F25" s="6" t="inlineStr">
        <is>
          <t>Direct</t>
        </is>
      </c>
      <c r="G25" s="8" t="n">
        <v>0.265</v>
      </c>
      <c r="H25" s="8" t="n">
        <v>0.312</v>
      </c>
      <c r="I25" s="8" t="n">
        <v>0.374</v>
      </c>
    </row>
    <row r="26">
      <c r="A26" s="6" t="n">
        <v>2</v>
      </c>
      <c r="B26" s="6" t="inlineStr">
        <is>
          <t>Class 2 Control/Tender</t>
        </is>
      </c>
      <c r="C26" s="6" t="inlineStr">
        <is>
          <t>30-75% definition maturity</t>
        </is>
      </c>
      <c r="D26" s="6" t="inlineStr">
        <is>
          <t>01.11</t>
        </is>
      </c>
      <c r="E26" s="6" t="inlineStr">
        <is>
          <t>Plant / Equipment</t>
        </is>
      </c>
      <c r="F26" s="6" t="inlineStr">
        <is>
          <t>Direct</t>
        </is>
      </c>
      <c r="G26" s="8" t="n">
        <v>0.106</v>
      </c>
      <c r="H26" s="8" t="n">
        <v>0.125</v>
      </c>
      <c r="I26" s="8" t="n">
        <v>0.15</v>
      </c>
    </row>
    <row r="27">
      <c r="A27" s="6" t="n">
        <v>2</v>
      </c>
      <c r="B27" s="6" t="inlineStr">
        <is>
          <t>Class 2 Control/Tender</t>
        </is>
      </c>
      <c r="C27" s="6" t="inlineStr">
        <is>
          <t>30-75% definition maturity</t>
        </is>
      </c>
      <c r="D27" s="6" t="inlineStr">
        <is>
          <t>02.01</t>
        </is>
      </c>
      <c r="E27" s="6" t="inlineStr">
        <is>
          <t>General Conditions / Prelims</t>
        </is>
      </c>
      <c r="F27" s="6" t="inlineStr">
        <is>
          <t>Indirect</t>
        </is>
      </c>
      <c r="G27" s="8" t="n">
        <v>0.185</v>
      </c>
      <c r="H27" s="8" t="n">
        <v>0.218</v>
      </c>
      <c r="I27" s="8" t="n">
        <v>0.262</v>
      </c>
    </row>
    <row r="28">
      <c r="A28" s="6" t="n">
        <v>2</v>
      </c>
      <c r="B28" s="6" t="inlineStr">
        <is>
          <t>Class 2 Control/Tender</t>
        </is>
      </c>
      <c r="C28" s="6" t="inlineStr">
        <is>
          <t>30-75% definition maturity</t>
        </is>
      </c>
      <c r="D28" s="6" t="inlineStr">
        <is>
          <t>02.02</t>
        </is>
      </c>
      <c r="E28" s="6" t="inlineStr">
        <is>
          <t>Design / Professional Fees</t>
        </is>
      </c>
      <c r="F28" s="6" t="inlineStr">
        <is>
          <t>Indirect</t>
        </is>
      </c>
      <c r="G28" s="8" t="n">
        <v>0.185</v>
      </c>
      <c r="H28" s="8" t="n">
        <v>0.218</v>
      </c>
      <c r="I28" s="8" t="n">
        <v>0.262</v>
      </c>
    </row>
    <row r="29">
      <c r="A29" s="6" t="n">
        <v>2</v>
      </c>
      <c r="B29" s="6" t="inlineStr">
        <is>
          <t>Class 2 Control/Tender</t>
        </is>
      </c>
      <c r="C29" s="6" t="inlineStr">
        <is>
          <t>30-75% definition maturity</t>
        </is>
      </c>
      <c r="D29" s="6" t="inlineStr">
        <is>
          <t>02.03</t>
        </is>
      </c>
      <c r="E29" s="6" t="inlineStr">
        <is>
          <t>Permits / Insurance / Bonds</t>
        </is>
      </c>
      <c r="F29" s="6" t="inlineStr">
        <is>
          <t>Indirect</t>
        </is>
      </c>
      <c r="G29" s="8" t="n">
        <v>0.08</v>
      </c>
      <c r="H29" s="8" t="n">
        <v>0.094</v>
      </c>
      <c r="I29" s="8" t="n">
        <v>0.113</v>
      </c>
    </row>
    <row r="30">
      <c r="A30" s="6" t="n">
        <v>2</v>
      </c>
      <c r="B30" s="6" t="inlineStr">
        <is>
          <t>Class 2 Control/Tender</t>
        </is>
      </c>
      <c r="C30" s="6" t="inlineStr">
        <is>
          <t>30-75% definition maturity</t>
        </is>
      </c>
      <c r="D30" s="6" t="inlineStr">
        <is>
          <t>03.01</t>
        </is>
      </c>
      <c r="E30" s="6" t="inlineStr">
        <is>
          <t>QCRA Contingency</t>
        </is>
      </c>
      <c r="F30" s="6" t="inlineStr">
        <is>
          <t>Reserve</t>
        </is>
      </c>
      <c r="G30" s="8" t="n">
        <v>0.159</v>
      </c>
      <c r="H30" s="8" t="n">
        <v>0.187</v>
      </c>
      <c r="I30" s="8" t="n">
        <v>0.224</v>
      </c>
    </row>
    <row r="31">
      <c r="A31" s="6" t="n">
        <v>2</v>
      </c>
      <c r="B31" s="6" t="inlineStr">
        <is>
          <t>Class 2 Control/Tender</t>
        </is>
      </c>
      <c r="C31" s="6" t="inlineStr">
        <is>
          <t>30-75% definition maturity</t>
        </is>
      </c>
      <c r="D31" s="6" t="inlineStr">
        <is>
          <t>03.02</t>
        </is>
      </c>
      <c r="E31" s="6" t="inlineStr">
        <is>
          <t>Management Reserve</t>
        </is>
      </c>
      <c r="F31" s="6" t="inlineStr">
        <is>
          <t>Reserve</t>
        </is>
      </c>
      <c r="G31" s="8" t="n">
        <v>0.08</v>
      </c>
      <c r="H31" s="8" t="n">
        <v>0.094</v>
      </c>
      <c r="I31" s="8" t="n">
        <v>0.113</v>
      </c>
    </row>
    <row r="32">
      <c r="A32" s="6" t="n">
        <v>3</v>
      </c>
      <c r="B32" s="6" t="inlineStr">
        <is>
          <t>Class 3 Budget Authorization</t>
        </is>
      </c>
      <c r="C32" s="6" t="inlineStr">
        <is>
          <t>10-40% definition maturity</t>
        </is>
      </c>
      <c r="D32" s="6" t="inlineStr">
        <is>
          <t>01.01</t>
        </is>
      </c>
      <c r="E32" s="6" t="inlineStr">
        <is>
          <t>Site Preparation / Enabling</t>
        </is>
      </c>
      <c r="F32" s="6" t="inlineStr">
        <is>
          <t>Direct</t>
        </is>
      </c>
      <c r="G32" s="8" t="n">
        <v>0.15</v>
      </c>
      <c r="H32" s="8" t="n">
        <v>0.187</v>
      </c>
      <c r="I32" s="8" t="n">
        <v>0.243</v>
      </c>
    </row>
    <row r="33">
      <c r="A33" s="6" t="n">
        <v>3</v>
      </c>
      <c r="B33" s="6" t="inlineStr">
        <is>
          <t>Class 3 Budget Authorization</t>
        </is>
      </c>
      <c r="C33" s="6" t="inlineStr">
        <is>
          <t>10-40% definition maturity</t>
        </is>
      </c>
      <c r="D33" s="6" t="inlineStr">
        <is>
          <t>01.02</t>
        </is>
      </c>
      <c r="E33" s="6" t="inlineStr">
        <is>
          <t>Substructure / Foundations</t>
        </is>
      </c>
      <c r="F33" s="6" t="inlineStr">
        <is>
          <t>Direct</t>
        </is>
      </c>
      <c r="G33" s="8" t="n">
        <v>0.2</v>
      </c>
      <c r="H33" s="8" t="n">
        <v>0.25</v>
      </c>
      <c r="I33" s="8" t="n">
        <v>0.325</v>
      </c>
    </row>
    <row r="34">
      <c r="A34" s="6" t="n">
        <v>3</v>
      </c>
      <c r="B34" s="6" t="inlineStr">
        <is>
          <t>Class 3 Budget Authorization</t>
        </is>
      </c>
      <c r="C34" s="6" t="inlineStr">
        <is>
          <t>10-40% definition maturity</t>
        </is>
      </c>
      <c r="D34" s="6" t="inlineStr">
        <is>
          <t>01.03</t>
        </is>
      </c>
      <c r="E34" s="6" t="inlineStr">
        <is>
          <t>Superstructure / Civil Works</t>
        </is>
      </c>
      <c r="F34" s="6" t="inlineStr">
        <is>
          <t>Direct</t>
        </is>
      </c>
      <c r="G34" s="8" t="n">
        <v>0.35</v>
      </c>
      <c r="H34" s="8" t="n">
        <v>0.437</v>
      </c>
      <c r="I34" s="8" t="n">
        <v>0.5679999999999999</v>
      </c>
    </row>
    <row r="35">
      <c r="A35" s="6" t="n">
        <v>3</v>
      </c>
      <c r="B35" s="6" t="inlineStr">
        <is>
          <t>Class 3 Budget Authorization</t>
        </is>
      </c>
      <c r="C35" s="6" t="inlineStr">
        <is>
          <t>10-40% definition maturity</t>
        </is>
      </c>
      <c r="D35" s="6" t="inlineStr">
        <is>
          <t>01.04</t>
        </is>
      </c>
      <c r="E35" s="6" t="inlineStr">
        <is>
          <t>MEP / Systems / Utilities</t>
        </is>
      </c>
      <c r="F35" s="6" t="inlineStr">
        <is>
          <t>Direct</t>
        </is>
      </c>
      <c r="G35" s="8" t="n">
        <v>0.35</v>
      </c>
      <c r="H35" s="8" t="n">
        <v>0.437</v>
      </c>
      <c r="I35" s="8" t="n">
        <v>0.5679999999999999</v>
      </c>
    </row>
    <row r="36">
      <c r="A36" s="6" t="n">
        <v>3</v>
      </c>
      <c r="B36" s="6" t="inlineStr">
        <is>
          <t>Class 3 Budget Authorization</t>
        </is>
      </c>
      <c r="C36" s="6" t="inlineStr">
        <is>
          <t>10-40% definition maturity</t>
        </is>
      </c>
      <c r="D36" s="6" t="inlineStr">
        <is>
          <t>01.05</t>
        </is>
      </c>
      <c r="E36" s="6" t="inlineStr">
        <is>
          <t>Specialist Equipment / Fit-Out</t>
        </is>
      </c>
      <c r="F36" s="6" t="inlineStr">
        <is>
          <t>Direct</t>
        </is>
      </c>
      <c r="G36" s="8" t="n">
        <v>0.299</v>
      </c>
      <c r="H36" s="8" t="n">
        <v>0.374</v>
      </c>
      <c r="I36" s="8" t="n">
        <v>0.486</v>
      </c>
    </row>
    <row r="37">
      <c r="A37" s="6" t="n">
        <v>3</v>
      </c>
      <c r="B37" s="6" t="inlineStr">
        <is>
          <t>Class 3 Budget Authorization</t>
        </is>
      </c>
      <c r="C37" s="6" t="inlineStr">
        <is>
          <t>10-40% definition maturity</t>
        </is>
      </c>
      <c r="D37" s="6" t="inlineStr">
        <is>
          <t>01.09</t>
        </is>
      </c>
      <c r="E37" s="6" t="inlineStr">
        <is>
          <t>Direct Labour</t>
        </is>
      </c>
      <c r="F37" s="6" t="inlineStr">
        <is>
          <t>Direct</t>
        </is>
      </c>
      <c r="G37" s="8" t="n">
        <v>0.225</v>
      </c>
      <c r="H37" s="8" t="n">
        <v>0.281</v>
      </c>
      <c r="I37" s="8" t="n">
        <v>0.365</v>
      </c>
    </row>
    <row r="38">
      <c r="A38" s="6" t="n">
        <v>3</v>
      </c>
      <c r="B38" s="6" t="inlineStr">
        <is>
          <t>Class 3 Budget Authorization</t>
        </is>
      </c>
      <c r="C38" s="6" t="inlineStr">
        <is>
          <t>10-40% definition maturity</t>
        </is>
      </c>
      <c r="D38" s="6" t="inlineStr">
        <is>
          <t>01.10</t>
        </is>
      </c>
      <c r="E38" s="6" t="inlineStr">
        <is>
          <t>Direct Materials</t>
        </is>
      </c>
      <c r="F38" s="6" t="inlineStr">
        <is>
          <t>Direct</t>
        </is>
      </c>
      <c r="G38" s="8" t="n">
        <v>0.25</v>
      </c>
      <c r="H38" s="8" t="n">
        <v>0.312</v>
      </c>
      <c r="I38" s="8" t="n">
        <v>0.406</v>
      </c>
    </row>
    <row r="39">
      <c r="A39" s="6" t="n">
        <v>3</v>
      </c>
      <c r="B39" s="6" t="inlineStr">
        <is>
          <t>Class 3 Budget Authorization</t>
        </is>
      </c>
      <c r="C39" s="6" t="inlineStr">
        <is>
          <t>10-40% definition maturity</t>
        </is>
      </c>
      <c r="D39" s="6" t="inlineStr">
        <is>
          <t>01.11</t>
        </is>
      </c>
      <c r="E39" s="6" t="inlineStr">
        <is>
          <t>Plant / Equipment</t>
        </is>
      </c>
      <c r="F39" s="6" t="inlineStr">
        <is>
          <t>Direct</t>
        </is>
      </c>
      <c r="G39" s="8" t="n">
        <v>0.1</v>
      </c>
      <c r="H39" s="8" t="n">
        <v>0.125</v>
      </c>
      <c r="I39" s="8" t="n">
        <v>0.163</v>
      </c>
    </row>
    <row r="40">
      <c r="A40" s="6" t="n">
        <v>3</v>
      </c>
      <c r="B40" s="6" t="inlineStr">
        <is>
          <t>Class 3 Budget Authorization</t>
        </is>
      </c>
      <c r="C40" s="6" t="inlineStr">
        <is>
          <t>10-40% definition maturity</t>
        </is>
      </c>
      <c r="D40" s="6" t="inlineStr">
        <is>
          <t>02.01</t>
        </is>
      </c>
      <c r="E40" s="6" t="inlineStr">
        <is>
          <t>General Conditions / Prelims</t>
        </is>
      </c>
      <c r="F40" s="6" t="inlineStr">
        <is>
          <t>Indirect</t>
        </is>
      </c>
      <c r="G40" s="8" t="n">
        <v>0.174</v>
      </c>
      <c r="H40" s="8" t="n">
        <v>0.218</v>
      </c>
      <c r="I40" s="8" t="n">
        <v>0.283</v>
      </c>
    </row>
    <row r="41">
      <c r="A41" s="6" t="n">
        <v>3</v>
      </c>
      <c r="B41" s="6" t="inlineStr">
        <is>
          <t>Class 3 Budget Authorization</t>
        </is>
      </c>
      <c r="C41" s="6" t="inlineStr">
        <is>
          <t>10-40% definition maturity</t>
        </is>
      </c>
      <c r="D41" s="6" t="inlineStr">
        <is>
          <t>02.02</t>
        </is>
      </c>
      <c r="E41" s="6" t="inlineStr">
        <is>
          <t>Design / Professional Fees</t>
        </is>
      </c>
      <c r="F41" s="6" t="inlineStr">
        <is>
          <t>Indirect</t>
        </is>
      </c>
      <c r="G41" s="8" t="n">
        <v>0.174</v>
      </c>
      <c r="H41" s="8" t="n">
        <v>0.218</v>
      </c>
      <c r="I41" s="8" t="n">
        <v>0.283</v>
      </c>
    </row>
    <row r="42">
      <c r="A42" s="6" t="n">
        <v>3</v>
      </c>
      <c r="B42" s="6" t="inlineStr">
        <is>
          <t>Class 3 Budget Authorization</t>
        </is>
      </c>
      <c r="C42" s="6" t="inlineStr">
        <is>
          <t>10-40% definition maturity</t>
        </is>
      </c>
      <c r="D42" s="6" t="inlineStr">
        <is>
          <t>02.03</t>
        </is>
      </c>
      <c r="E42" s="6" t="inlineStr">
        <is>
          <t>Permits / Insurance / Bonds</t>
        </is>
      </c>
      <c r="F42" s="6" t="inlineStr">
        <is>
          <t>Indirect</t>
        </is>
      </c>
      <c r="G42" s="8" t="n">
        <v>0.075</v>
      </c>
      <c r="H42" s="8" t="n">
        <v>0.094</v>
      </c>
      <c r="I42" s="8" t="n">
        <v>0.122</v>
      </c>
    </row>
    <row r="43">
      <c r="A43" s="6" t="n">
        <v>3</v>
      </c>
      <c r="B43" s="6" t="inlineStr">
        <is>
          <t>Class 3 Budget Authorization</t>
        </is>
      </c>
      <c r="C43" s="6" t="inlineStr">
        <is>
          <t>10-40% definition maturity</t>
        </is>
      </c>
      <c r="D43" s="6" t="inlineStr">
        <is>
          <t>03.01</t>
        </is>
      </c>
      <c r="E43" s="6" t="inlineStr">
        <is>
          <t>QCRA Contingency</t>
        </is>
      </c>
      <c r="F43" s="6" t="inlineStr">
        <is>
          <t>Reserve</t>
        </is>
      </c>
      <c r="G43" s="8" t="n">
        <v>0.15</v>
      </c>
      <c r="H43" s="8" t="n">
        <v>0.187</v>
      </c>
      <c r="I43" s="8" t="n">
        <v>0.243</v>
      </c>
    </row>
    <row r="44">
      <c r="A44" s="6" t="n">
        <v>3</v>
      </c>
      <c r="B44" s="6" t="inlineStr">
        <is>
          <t>Class 3 Budget Authorization</t>
        </is>
      </c>
      <c r="C44" s="6" t="inlineStr">
        <is>
          <t>10-40% definition maturity</t>
        </is>
      </c>
      <c r="D44" s="6" t="inlineStr">
        <is>
          <t>03.02</t>
        </is>
      </c>
      <c r="E44" s="6" t="inlineStr">
        <is>
          <t>Management Reserve</t>
        </is>
      </c>
      <c r="F44" s="6" t="inlineStr">
        <is>
          <t>Reserve</t>
        </is>
      </c>
      <c r="G44" s="8" t="n">
        <v>0.075</v>
      </c>
      <c r="H44" s="8" t="n">
        <v>0.094</v>
      </c>
      <c r="I44" s="8" t="n">
        <v>0.122</v>
      </c>
    </row>
    <row r="45">
      <c r="A45" s="6" t="n">
        <v>4</v>
      </c>
      <c r="B45" s="6" t="inlineStr">
        <is>
          <t>Class 4 Feasibility</t>
        </is>
      </c>
      <c r="C45" s="6" t="inlineStr">
        <is>
          <t>1-15% definition maturity</t>
        </is>
      </c>
      <c r="D45" s="6" t="inlineStr">
        <is>
          <t>01.01</t>
        </is>
      </c>
      <c r="E45" s="6" t="inlineStr">
        <is>
          <t>Site Preparation / Enabling</t>
        </is>
      </c>
      <c r="F45" s="6" t="inlineStr">
        <is>
          <t>Direct</t>
        </is>
      </c>
      <c r="G45" s="8" t="n">
        <v>0.131</v>
      </c>
      <c r="H45" s="8" t="n">
        <v>0.187</v>
      </c>
      <c r="I45" s="8" t="n">
        <v>0.28</v>
      </c>
    </row>
    <row r="46">
      <c r="A46" s="6" t="n">
        <v>4</v>
      </c>
      <c r="B46" s="6" t="inlineStr">
        <is>
          <t>Class 4 Feasibility</t>
        </is>
      </c>
      <c r="C46" s="6" t="inlineStr">
        <is>
          <t>1-15% definition maturity</t>
        </is>
      </c>
      <c r="D46" s="6" t="inlineStr">
        <is>
          <t>01.02</t>
        </is>
      </c>
      <c r="E46" s="6" t="inlineStr">
        <is>
          <t>Substructure / Foundations</t>
        </is>
      </c>
      <c r="F46" s="6" t="inlineStr">
        <is>
          <t>Direct</t>
        </is>
      </c>
      <c r="G46" s="8" t="n">
        <v>0.175</v>
      </c>
      <c r="H46" s="8" t="n">
        <v>0.25</v>
      </c>
      <c r="I46" s="8" t="n">
        <v>0.375</v>
      </c>
    </row>
    <row r="47">
      <c r="A47" s="6" t="n">
        <v>4</v>
      </c>
      <c r="B47" s="6" t="inlineStr">
        <is>
          <t>Class 4 Feasibility</t>
        </is>
      </c>
      <c r="C47" s="6" t="inlineStr">
        <is>
          <t>1-15% definition maturity</t>
        </is>
      </c>
      <c r="D47" s="6" t="inlineStr">
        <is>
          <t>01.03</t>
        </is>
      </c>
      <c r="E47" s="6" t="inlineStr">
        <is>
          <t>Superstructure / Civil Works</t>
        </is>
      </c>
      <c r="F47" s="6" t="inlineStr">
        <is>
          <t>Direct</t>
        </is>
      </c>
      <c r="G47" s="8" t="n">
        <v>0.306</v>
      </c>
      <c r="H47" s="8" t="n">
        <v>0.437</v>
      </c>
      <c r="I47" s="8" t="n">
        <v>0.655</v>
      </c>
    </row>
    <row r="48">
      <c r="A48" s="6" t="n">
        <v>4</v>
      </c>
      <c r="B48" s="6" t="inlineStr">
        <is>
          <t>Class 4 Feasibility</t>
        </is>
      </c>
      <c r="C48" s="6" t="inlineStr">
        <is>
          <t>1-15% definition maturity</t>
        </is>
      </c>
      <c r="D48" s="6" t="inlineStr">
        <is>
          <t>01.04</t>
        </is>
      </c>
      <c r="E48" s="6" t="inlineStr">
        <is>
          <t>MEP / Systems / Utilities</t>
        </is>
      </c>
      <c r="F48" s="6" t="inlineStr">
        <is>
          <t>Direct</t>
        </is>
      </c>
      <c r="G48" s="8" t="n">
        <v>0.306</v>
      </c>
      <c r="H48" s="8" t="n">
        <v>0.437</v>
      </c>
      <c r="I48" s="8" t="n">
        <v>0.655</v>
      </c>
    </row>
    <row r="49">
      <c r="A49" s="6" t="n">
        <v>4</v>
      </c>
      <c r="B49" s="6" t="inlineStr">
        <is>
          <t>Class 4 Feasibility</t>
        </is>
      </c>
      <c r="C49" s="6" t="inlineStr">
        <is>
          <t>1-15% definition maturity</t>
        </is>
      </c>
      <c r="D49" s="6" t="inlineStr">
        <is>
          <t>01.05</t>
        </is>
      </c>
      <c r="E49" s="6" t="inlineStr">
        <is>
          <t>Specialist Equipment / Fit-Out</t>
        </is>
      </c>
      <c r="F49" s="6" t="inlineStr">
        <is>
          <t>Direct</t>
        </is>
      </c>
      <c r="G49" s="8" t="n">
        <v>0.262</v>
      </c>
      <c r="H49" s="8" t="n">
        <v>0.374</v>
      </c>
      <c r="I49" s="8" t="n">
        <v>0.5610000000000001</v>
      </c>
    </row>
    <row r="50">
      <c r="A50" s="6" t="n">
        <v>4</v>
      </c>
      <c r="B50" s="6" t="inlineStr">
        <is>
          <t>Class 4 Feasibility</t>
        </is>
      </c>
      <c r="C50" s="6" t="inlineStr">
        <is>
          <t>1-15% definition maturity</t>
        </is>
      </c>
      <c r="D50" s="6" t="inlineStr">
        <is>
          <t>01.09</t>
        </is>
      </c>
      <c r="E50" s="6" t="inlineStr">
        <is>
          <t>Direct Labour</t>
        </is>
      </c>
      <c r="F50" s="6" t="inlineStr">
        <is>
          <t>Direct</t>
        </is>
      </c>
      <c r="G50" s="8" t="n">
        <v>0.197</v>
      </c>
      <c r="H50" s="8" t="n">
        <v>0.281</v>
      </c>
      <c r="I50" s="8" t="n">
        <v>0.422</v>
      </c>
    </row>
    <row r="51">
      <c r="A51" s="6" t="n">
        <v>4</v>
      </c>
      <c r="B51" s="6" t="inlineStr">
        <is>
          <t>Class 4 Feasibility</t>
        </is>
      </c>
      <c r="C51" s="6" t="inlineStr">
        <is>
          <t>1-15% definition maturity</t>
        </is>
      </c>
      <c r="D51" s="6" t="inlineStr">
        <is>
          <t>01.10</t>
        </is>
      </c>
      <c r="E51" s="6" t="inlineStr">
        <is>
          <t>Direct Materials</t>
        </is>
      </c>
      <c r="F51" s="6" t="inlineStr">
        <is>
          <t>Direct</t>
        </is>
      </c>
      <c r="G51" s="8" t="n">
        <v>0.218</v>
      </c>
      <c r="H51" s="8" t="n">
        <v>0.312</v>
      </c>
      <c r="I51" s="8" t="n">
        <v>0.468</v>
      </c>
    </row>
    <row r="52">
      <c r="A52" s="6" t="n">
        <v>4</v>
      </c>
      <c r="B52" s="6" t="inlineStr">
        <is>
          <t>Class 4 Feasibility</t>
        </is>
      </c>
      <c r="C52" s="6" t="inlineStr">
        <is>
          <t>1-15% definition maturity</t>
        </is>
      </c>
      <c r="D52" s="6" t="inlineStr">
        <is>
          <t>01.11</t>
        </is>
      </c>
      <c r="E52" s="6" t="inlineStr">
        <is>
          <t>Plant / Equipment</t>
        </is>
      </c>
      <c r="F52" s="6" t="inlineStr">
        <is>
          <t>Direct</t>
        </is>
      </c>
      <c r="G52" s="8" t="n">
        <v>0.08699999999999999</v>
      </c>
      <c r="H52" s="8" t="n">
        <v>0.125</v>
      </c>
      <c r="I52" s="8" t="n">
        <v>0.188</v>
      </c>
    </row>
    <row r="53">
      <c r="A53" s="6" t="n">
        <v>4</v>
      </c>
      <c r="B53" s="6" t="inlineStr">
        <is>
          <t>Class 4 Feasibility</t>
        </is>
      </c>
      <c r="C53" s="6" t="inlineStr">
        <is>
          <t>1-15% definition maturity</t>
        </is>
      </c>
      <c r="D53" s="6" t="inlineStr">
        <is>
          <t>02.01</t>
        </is>
      </c>
      <c r="E53" s="6" t="inlineStr">
        <is>
          <t>General Conditions / Prelims</t>
        </is>
      </c>
      <c r="F53" s="6" t="inlineStr">
        <is>
          <t>Indirect</t>
        </is>
      </c>
      <c r="G53" s="8" t="n">
        <v>0.153</v>
      </c>
      <c r="H53" s="8" t="n">
        <v>0.218</v>
      </c>
      <c r="I53" s="8" t="n">
        <v>0.327</v>
      </c>
    </row>
    <row r="54">
      <c r="A54" s="6" t="n">
        <v>4</v>
      </c>
      <c r="B54" s="6" t="inlineStr">
        <is>
          <t>Class 4 Feasibility</t>
        </is>
      </c>
      <c r="C54" s="6" t="inlineStr">
        <is>
          <t>1-15% definition maturity</t>
        </is>
      </c>
      <c r="D54" s="6" t="inlineStr">
        <is>
          <t>02.02</t>
        </is>
      </c>
      <c r="E54" s="6" t="inlineStr">
        <is>
          <t>Design / Professional Fees</t>
        </is>
      </c>
      <c r="F54" s="6" t="inlineStr">
        <is>
          <t>Indirect</t>
        </is>
      </c>
      <c r="G54" s="8" t="n">
        <v>0.153</v>
      </c>
      <c r="H54" s="8" t="n">
        <v>0.218</v>
      </c>
      <c r="I54" s="8" t="n">
        <v>0.327</v>
      </c>
    </row>
    <row r="55">
      <c r="A55" s="6" t="n">
        <v>4</v>
      </c>
      <c r="B55" s="6" t="inlineStr">
        <is>
          <t>Class 4 Feasibility</t>
        </is>
      </c>
      <c r="C55" s="6" t="inlineStr">
        <is>
          <t>1-15% definition maturity</t>
        </is>
      </c>
      <c r="D55" s="6" t="inlineStr">
        <is>
          <t>02.03</t>
        </is>
      </c>
      <c r="E55" s="6" t="inlineStr">
        <is>
          <t>Permits / Insurance / Bonds</t>
        </is>
      </c>
      <c r="F55" s="6" t="inlineStr">
        <is>
          <t>Indirect</t>
        </is>
      </c>
      <c r="G55" s="8" t="n">
        <v>0.066</v>
      </c>
      <c r="H55" s="8" t="n">
        <v>0.094</v>
      </c>
      <c r="I55" s="8" t="n">
        <v>0.141</v>
      </c>
    </row>
    <row r="56">
      <c r="A56" s="6" t="n">
        <v>4</v>
      </c>
      <c r="B56" s="6" t="inlineStr">
        <is>
          <t>Class 4 Feasibility</t>
        </is>
      </c>
      <c r="C56" s="6" t="inlineStr">
        <is>
          <t>1-15% definition maturity</t>
        </is>
      </c>
      <c r="D56" s="6" t="inlineStr">
        <is>
          <t>03.01</t>
        </is>
      </c>
      <c r="E56" s="6" t="inlineStr">
        <is>
          <t>QCRA Contingency</t>
        </is>
      </c>
      <c r="F56" s="6" t="inlineStr">
        <is>
          <t>Reserve</t>
        </is>
      </c>
      <c r="G56" s="8" t="n">
        <v>0.131</v>
      </c>
      <c r="H56" s="8" t="n">
        <v>0.187</v>
      </c>
      <c r="I56" s="8" t="n">
        <v>0.28</v>
      </c>
    </row>
    <row r="57">
      <c r="A57" s="6" t="n">
        <v>4</v>
      </c>
      <c r="B57" s="6" t="inlineStr">
        <is>
          <t>Class 4 Feasibility</t>
        </is>
      </c>
      <c r="C57" s="6" t="inlineStr">
        <is>
          <t>1-15% definition maturity</t>
        </is>
      </c>
      <c r="D57" s="6" t="inlineStr">
        <is>
          <t>03.02</t>
        </is>
      </c>
      <c r="E57" s="6" t="inlineStr">
        <is>
          <t>Management Reserve</t>
        </is>
      </c>
      <c r="F57" s="6" t="inlineStr">
        <is>
          <t>Reserve</t>
        </is>
      </c>
      <c r="G57" s="8" t="n">
        <v>0.066</v>
      </c>
      <c r="H57" s="8" t="n">
        <v>0.094</v>
      </c>
      <c r="I57" s="8" t="n">
        <v>0.141</v>
      </c>
    </row>
    <row r="58">
      <c r="A58" s="6" t="n">
        <v>5</v>
      </c>
      <c r="B58" s="6" t="inlineStr">
        <is>
          <t>Class 5 Concept Screening</t>
        </is>
      </c>
      <c r="C58" s="6" t="inlineStr">
        <is>
          <t>0-2% definition maturity</t>
        </is>
      </c>
      <c r="D58" s="6" t="inlineStr">
        <is>
          <t>01.01</t>
        </is>
      </c>
      <c r="E58" s="6" t="inlineStr">
        <is>
          <t>Site Preparation / Enabling</t>
        </is>
      </c>
      <c r="F58" s="6" t="inlineStr">
        <is>
          <t>Direct</t>
        </is>
      </c>
      <c r="G58" s="8" t="n">
        <v>0.093</v>
      </c>
      <c r="H58" s="8" t="n">
        <v>0.187</v>
      </c>
      <c r="I58" s="8" t="n">
        <v>0.374</v>
      </c>
    </row>
    <row r="59">
      <c r="A59" s="6" t="n">
        <v>5</v>
      </c>
      <c r="B59" s="6" t="inlineStr">
        <is>
          <t>Class 5 Concept Screening</t>
        </is>
      </c>
      <c r="C59" s="6" t="inlineStr">
        <is>
          <t>0-2% definition maturity</t>
        </is>
      </c>
      <c r="D59" s="6" t="inlineStr">
        <is>
          <t>01.02</t>
        </is>
      </c>
      <c r="E59" s="6" t="inlineStr">
        <is>
          <t>Substructure / Foundations</t>
        </is>
      </c>
      <c r="F59" s="6" t="inlineStr">
        <is>
          <t>Direct</t>
        </is>
      </c>
      <c r="G59" s="8" t="n">
        <v>0.125</v>
      </c>
      <c r="H59" s="8" t="n">
        <v>0.25</v>
      </c>
      <c r="I59" s="8" t="n">
        <v>0.5</v>
      </c>
    </row>
    <row r="60">
      <c r="A60" s="6" t="n">
        <v>5</v>
      </c>
      <c r="B60" s="6" t="inlineStr">
        <is>
          <t>Class 5 Concept Screening</t>
        </is>
      </c>
      <c r="C60" s="6" t="inlineStr">
        <is>
          <t>0-2% definition maturity</t>
        </is>
      </c>
      <c r="D60" s="6" t="inlineStr">
        <is>
          <t>01.03</t>
        </is>
      </c>
      <c r="E60" s="6" t="inlineStr">
        <is>
          <t>Superstructure / Civil Works</t>
        </is>
      </c>
      <c r="F60" s="6" t="inlineStr">
        <is>
          <t>Direct</t>
        </is>
      </c>
      <c r="G60" s="8" t="n">
        <v>0.218</v>
      </c>
      <c r="H60" s="8" t="n">
        <v>0.437</v>
      </c>
      <c r="I60" s="8" t="n">
        <v>0.874</v>
      </c>
    </row>
    <row r="61">
      <c r="A61" s="6" t="n">
        <v>5</v>
      </c>
      <c r="B61" s="6" t="inlineStr">
        <is>
          <t>Class 5 Concept Screening</t>
        </is>
      </c>
      <c r="C61" s="6" t="inlineStr">
        <is>
          <t>0-2% definition maturity</t>
        </is>
      </c>
      <c r="D61" s="6" t="inlineStr">
        <is>
          <t>01.04</t>
        </is>
      </c>
      <c r="E61" s="6" t="inlineStr">
        <is>
          <t>MEP / Systems / Utilities</t>
        </is>
      </c>
      <c r="F61" s="6" t="inlineStr">
        <is>
          <t>Direct</t>
        </is>
      </c>
      <c r="G61" s="8" t="n">
        <v>0.218</v>
      </c>
      <c r="H61" s="8" t="n">
        <v>0.437</v>
      </c>
      <c r="I61" s="8" t="n">
        <v>0.874</v>
      </c>
    </row>
    <row r="62">
      <c r="A62" s="6" t="n">
        <v>5</v>
      </c>
      <c r="B62" s="6" t="inlineStr">
        <is>
          <t>Class 5 Concept Screening</t>
        </is>
      </c>
      <c r="C62" s="6" t="inlineStr">
        <is>
          <t>0-2% definition maturity</t>
        </is>
      </c>
      <c r="D62" s="6" t="inlineStr">
        <is>
          <t>01.05</t>
        </is>
      </c>
      <c r="E62" s="6" t="inlineStr">
        <is>
          <t>Specialist Equipment / Fit-Out</t>
        </is>
      </c>
      <c r="F62" s="6" t="inlineStr">
        <is>
          <t>Direct</t>
        </is>
      </c>
      <c r="G62" s="8" t="n">
        <v>0.187</v>
      </c>
      <c r="H62" s="8" t="n">
        <v>0.374</v>
      </c>
      <c r="I62" s="8" t="n">
        <v>0.748</v>
      </c>
    </row>
    <row r="63">
      <c r="A63" s="6" t="n">
        <v>5</v>
      </c>
      <c r="B63" s="6" t="inlineStr">
        <is>
          <t>Class 5 Concept Screening</t>
        </is>
      </c>
      <c r="C63" s="6" t="inlineStr">
        <is>
          <t>0-2% definition maturity</t>
        </is>
      </c>
      <c r="D63" s="6" t="inlineStr">
        <is>
          <t>01.09</t>
        </is>
      </c>
      <c r="E63" s="6" t="inlineStr">
        <is>
          <t>Direct Labour</t>
        </is>
      </c>
      <c r="F63" s="6" t="inlineStr">
        <is>
          <t>Direct</t>
        </is>
      </c>
      <c r="G63" s="8" t="n">
        <v>0.141</v>
      </c>
      <c r="H63" s="8" t="n">
        <v>0.281</v>
      </c>
      <c r="I63" s="8" t="n">
        <v>0.5620000000000001</v>
      </c>
    </row>
    <row r="64">
      <c r="A64" s="6" t="n">
        <v>5</v>
      </c>
      <c r="B64" s="6" t="inlineStr">
        <is>
          <t>Class 5 Concept Screening</t>
        </is>
      </c>
      <c r="C64" s="6" t="inlineStr">
        <is>
          <t>0-2% definition maturity</t>
        </is>
      </c>
      <c r="D64" s="6" t="inlineStr">
        <is>
          <t>01.10</t>
        </is>
      </c>
      <c r="E64" s="6" t="inlineStr">
        <is>
          <t>Direct Materials</t>
        </is>
      </c>
      <c r="F64" s="6" t="inlineStr">
        <is>
          <t>Direct</t>
        </is>
      </c>
      <c r="G64" s="8" t="n">
        <v>0.156</v>
      </c>
      <c r="H64" s="8" t="n">
        <v>0.312</v>
      </c>
      <c r="I64" s="8" t="n">
        <v>0.624</v>
      </c>
    </row>
    <row r="65">
      <c r="A65" s="6" t="n">
        <v>5</v>
      </c>
      <c r="B65" s="6" t="inlineStr">
        <is>
          <t>Class 5 Concept Screening</t>
        </is>
      </c>
      <c r="C65" s="6" t="inlineStr">
        <is>
          <t>0-2% definition maturity</t>
        </is>
      </c>
      <c r="D65" s="6" t="inlineStr">
        <is>
          <t>01.11</t>
        </is>
      </c>
      <c r="E65" s="6" t="inlineStr">
        <is>
          <t>Plant / Equipment</t>
        </is>
      </c>
      <c r="F65" s="6" t="inlineStr">
        <is>
          <t>Direct</t>
        </is>
      </c>
      <c r="G65" s="8" t="n">
        <v>0.062</v>
      </c>
      <c r="H65" s="8" t="n">
        <v>0.125</v>
      </c>
      <c r="I65" s="8" t="n">
        <v>0.25</v>
      </c>
    </row>
    <row r="66">
      <c r="A66" s="6" t="n">
        <v>5</v>
      </c>
      <c r="B66" s="6" t="inlineStr">
        <is>
          <t>Class 5 Concept Screening</t>
        </is>
      </c>
      <c r="C66" s="6" t="inlineStr">
        <is>
          <t>0-2% definition maturity</t>
        </is>
      </c>
      <c r="D66" s="6" t="inlineStr">
        <is>
          <t>02.01</t>
        </is>
      </c>
      <c r="E66" s="6" t="inlineStr">
        <is>
          <t>General Conditions / Prelims</t>
        </is>
      </c>
      <c r="F66" s="6" t="inlineStr">
        <is>
          <t>Indirect</t>
        </is>
      </c>
      <c r="G66" s="8" t="n">
        <v>0.109</v>
      </c>
      <c r="H66" s="8" t="n">
        <v>0.218</v>
      </c>
      <c r="I66" s="8" t="n">
        <v>0.436</v>
      </c>
    </row>
    <row r="67">
      <c r="A67" s="6" t="n">
        <v>5</v>
      </c>
      <c r="B67" s="6" t="inlineStr">
        <is>
          <t>Class 5 Concept Screening</t>
        </is>
      </c>
      <c r="C67" s="6" t="inlineStr">
        <is>
          <t>0-2% definition maturity</t>
        </is>
      </c>
      <c r="D67" s="6" t="inlineStr">
        <is>
          <t>02.02</t>
        </is>
      </c>
      <c r="E67" s="6" t="inlineStr">
        <is>
          <t>Design / Professional Fees</t>
        </is>
      </c>
      <c r="F67" s="6" t="inlineStr">
        <is>
          <t>Indirect</t>
        </is>
      </c>
      <c r="G67" s="8" t="n">
        <v>0.109</v>
      </c>
      <c r="H67" s="8" t="n">
        <v>0.218</v>
      </c>
      <c r="I67" s="8" t="n">
        <v>0.436</v>
      </c>
    </row>
    <row r="68">
      <c r="A68" s="6" t="n">
        <v>5</v>
      </c>
      <c r="B68" s="6" t="inlineStr">
        <is>
          <t>Class 5 Concept Screening</t>
        </is>
      </c>
      <c r="C68" s="6" t="inlineStr">
        <is>
          <t>0-2% definition maturity</t>
        </is>
      </c>
      <c r="D68" s="6" t="inlineStr">
        <is>
          <t>02.03</t>
        </is>
      </c>
      <c r="E68" s="6" t="inlineStr">
        <is>
          <t>Permits / Insurance / Bonds</t>
        </is>
      </c>
      <c r="F68" s="6" t="inlineStr">
        <is>
          <t>Indirect</t>
        </is>
      </c>
      <c r="G68" s="8" t="n">
        <v>0.047</v>
      </c>
      <c r="H68" s="8" t="n">
        <v>0.094</v>
      </c>
      <c r="I68" s="8" t="n">
        <v>0.188</v>
      </c>
    </row>
    <row r="69">
      <c r="A69" s="6" t="n">
        <v>5</v>
      </c>
      <c r="B69" s="6" t="inlineStr">
        <is>
          <t>Class 5 Concept Screening</t>
        </is>
      </c>
      <c r="C69" s="6" t="inlineStr">
        <is>
          <t>0-2% definition maturity</t>
        </is>
      </c>
      <c r="D69" s="6" t="inlineStr">
        <is>
          <t>03.01</t>
        </is>
      </c>
      <c r="E69" s="6" t="inlineStr">
        <is>
          <t>QCRA Contingency</t>
        </is>
      </c>
      <c r="F69" s="6" t="inlineStr">
        <is>
          <t>Reserve</t>
        </is>
      </c>
      <c r="G69" s="8" t="n">
        <v>0.093</v>
      </c>
      <c r="H69" s="8" t="n">
        <v>0.187</v>
      </c>
      <c r="I69" s="8" t="n">
        <v>0.374</v>
      </c>
    </row>
    <row r="70">
      <c r="A70" s="6" t="n">
        <v>5</v>
      </c>
      <c r="B70" s="6" t="inlineStr">
        <is>
          <t>Class 5 Concept Screening</t>
        </is>
      </c>
      <c r="C70" s="6" t="inlineStr">
        <is>
          <t>0-2% definition maturity</t>
        </is>
      </c>
      <c r="D70" s="6" t="inlineStr">
        <is>
          <t>03.02</t>
        </is>
      </c>
      <c r="E70" s="6" t="inlineStr">
        <is>
          <t>Management Reserve</t>
        </is>
      </c>
      <c r="F70" s="6" t="inlineStr">
        <is>
          <t>Reserve</t>
        </is>
      </c>
      <c r="G70" s="8" t="n">
        <v>0.047</v>
      </c>
      <c r="H70" s="8" t="n">
        <v>0.094</v>
      </c>
      <c r="I70" s="8" t="n">
        <v>0.188</v>
      </c>
    </row>
  </sheetData>
  <mergeCells count="1">
    <mergeCell ref="A1:I1"/>
  </mergeCells>
  <pageMargins left="0.3" right="0.3" top="0.4" bottom="0.4" header="0.3" footer="0.3"/>
  <pageSetup orientation="landscape"/>
</worksheet>
</file>

<file path=xl/worksheets/sheet4.xml><?xml version="1.0" encoding="utf-8"?>
<worksheet xmlns="http://schemas.openxmlformats.org/spreadsheetml/2006/main">
  <sheetPr>
    <outlinePr summaryBelow="1" summaryRight="1"/>
    <pageSetUpPr/>
  </sheetPr>
  <dimension ref="A1:G12"/>
  <sheetViews>
    <sheetView showGridLines="0" zoomScale="90" zoomScaleNormal="90" workbookViewId="0">
      <pane ySplit="5" topLeftCell="A6" activePane="bottomLeft" state="frozen"/>
      <selection pane="bottomLeft" activeCell="A1" sqref="A1"/>
    </sheetView>
  </sheetViews>
  <sheetFormatPr baseColWidth="8" defaultRowHeight="15"/>
  <cols>
    <col width="14.7109375" customWidth="1" min="1" max="2"/>
    <col width="16.7109375" customWidth="1" min="3" max="3"/>
    <col width="14.7109375" customWidth="1" min="4" max="5"/>
    <col width="62.7109375" customWidth="1" min="6" max="6"/>
    <col width="40.7109375" customWidth="1" min="7" max="7"/>
  </cols>
  <sheetData>
    <row r="1">
      <c r="A1" s="1" t="inlineStr">
        <is>
          <t>SCENARIO COMPARISON — WHAT CHANGES AND WHY</t>
        </is>
      </c>
    </row>
    <row r="5">
      <c r="A5" s="7" t="inlineStr">
        <is>
          <t>Scenario</t>
        </is>
      </c>
      <c r="B5" s="7" t="inlineStr">
        <is>
          <t>P50 Cost</t>
        </is>
      </c>
      <c r="C5" s="7" t="inlineStr">
        <is>
          <t>Schedule Months</t>
        </is>
      </c>
      <c r="D5" s="7" t="inlineStr">
        <is>
          <t>Risk</t>
        </is>
      </c>
      <c r="E5" s="7" t="inlineStr">
        <is>
          <t>Confidence %</t>
        </is>
      </c>
      <c r="F5" s="7" t="inlineStr">
        <is>
          <t>Commercial Interpretation</t>
        </is>
      </c>
      <c r="G5" s="7" t="inlineStr">
        <is>
          <t>Board Use</t>
        </is>
      </c>
    </row>
    <row r="6">
      <c r="A6" s="6" t="inlineStr">
        <is>
          <t>Base</t>
        </is>
      </c>
      <c r="B6" s="6" t="inlineStr">
        <is>
          <t>$2.0B</t>
        </is>
      </c>
      <c r="C6" s="6" t="n">
        <v>56</v>
      </c>
      <c r="D6" s="6" t="inlineStr">
        <is>
          <t>Low</t>
        </is>
      </c>
      <c r="E6" s="6" t="n">
        <v>68</v>
      </c>
      <c r="F6" s="6" t="inlineStr">
        <is>
          <t>Balanced reference case.</t>
        </is>
      </c>
      <c r="G6" s="6" t="inlineStr">
        <is>
          <t>Decision trade-off: cost / time / risk / confidence</t>
        </is>
      </c>
    </row>
    <row r="7">
      <c r="A7" s="6" t="inlineStr">
        <is>
          <t>Faster</t>
        </is>
      </c>
      <c r="B7" s="6" t="inlineStr">
        <is>
          <t>$2.2B</t>
        </is>
      </c>
      <c r="C7" s="6" t="n">
        <v>46</v>
      </c>
      <c r="D7" s="6" t="inlineStr">
        <is>
          <t>Medium</t>
        </is>
      </c>
      <c r="E7" s="6" t="n">
        <v>59</v>
      </c>
      <c r="F7" s="6" t="inlineStr">
        <is>
          <t>Parallel design/procurement, acceleration, premium logistics and higher interface risk.</t>
        </is>
      </c>
      <c r="G7" s="6" t="inlineStr">
        <is>
          <t>Decision trade-off: cost / time / risk / confidence</t>
        </is>
      </c>
    </row>
    <row r="8">
      <c r="A8" s="6" t="inlineStr">
        <is>
          <t>Cheaper</t>
        </is>
      </c>
      <c r="B8" s="6" t="inlineStr">
        <is>
          <t>$1.8B</t>
        </is>
      </c>
      <c r="C8" s="6" t="n">
        <v>60</v>
      </c>
      <c r="D8" s="6" t="inlineStr">
        <is>
          <t>Low</t>
        </is>
      </c>
      <c r="E8" s="6" t="n">
        <v>62</v>
      </c>
      <c r="F8" s="6" t="inlineStr">
        <is>
          <t>Value engineering, tighter scope and procurement competition, with schedule/quality exposure.</t>
        </is>
      </c>
      <c r="G8" s="6" t="inlineStr">
        <is>
          <t>Decision trade-off: cost / time / risk / confidence</t>
        </is>
      </c>
    </row>
    <row r="9">
      <c r="A9" s="6" t="inlineStr">
        <is>
          <t>Lower Risk</t>
        </is>
      </c>
      <c r="B9" s="6" t="inlineStr">
        <is>
          <t>$2.2B</t>
        </is>
      </c>
      <c r="C9" s="6" t="n">
        <v>62</v>
      </c>
      <c r="D9" s="6" t="inlineStr">
        <is>
          <t>Low</t>
        </is>
      </c>
      <c r="E9" s="6" t="n">
        <v>77</v>
      </c>
      <c r="F9" s="6" t="inlineStr">
        <is>
          <t>More surveys, assurance, stage gates, contingency and schedule buffers.</t>
        </is>
      </c>
      <c r="G9" s="6" t="inlineStr">
        <is>
          <t>Decision trade-off: cost / time / risk / confidence</t>
        </is>
      </c>
    </row>
    <row r="10">
      <c r="A10" s="6" t="inlineStr">
        <is>
          <t>Premium</t>
        </is>
      </c>
      <c r="B10" s="6" t="inlineStr">
        <is>
          <t>$2.3B</t>
        </is>
      </c>
      <c r="C10" s="6" t="n">
        <v>58</v>
      </c>
      <c r="D10" s="6" t="inlineStr">
        <is>
          <t>Low</t>
        </is>
      </c>
      <c r="E10" s="6" t="n">
        <v>80</v>
      </c>
      <c r="F10" s="6" t="inlineStr">
        <is>
          <t>Best assurance, independent review, early procurement and high-confidence governance.</t>
        </is>
      </c>
      <c r="G10" s="6" t="inlineStr">
        <is>
          <t>Decision trade-off: cost / time / risk / confidence</t>
        </is>
      </c>
    </row>
    <row r="11">
      <c r="A11" s="6" t="inlineStr">
        <is>
          <t>Investor</t>
        </is>
      </c>
      <c r="B11" s="6" t="inlineStr">
        <is>
          <t>$2.0B</t>
        </is>
      </c>
      <c r="C11" s="6" t="n">
        <v>56</v>
      </c>
      <c r="D11" s="6" t="inlineStr">
        <is>
          <t>Low</t>
        </is>
      </c>
      <c r="E11" s="6" t="n">
        <v>71</v>
      </c>
      <c r="F11" s="6" t="inlineStr">
        <is>
          <t>Investment-framing case with transparent risk and commercial challenge.</t>
        </is>
      </c>
      <c r="G11" s="6" t="inlineStr">
        <is>
          <t>Decision trade-off: cost / time / risk / confidence</t>
        </is>
      </c>
    </row>
    <row r="12">
      <c r="A12" s="6" t="inlineStr">
        <is>
          <t>Survival</t>
        </is>
      </c>
      <c r="B12" s="6" t="inlineStr">
        <is>
          <t>$1.6B</t>
        </is>
      </c>
      <c r="C12" s="6" t="n">
        <v>67</v>
      </c>
      <c r="D12" s="6" t="inlineStr">
        <is>
          <t>Medium</t>
        </is>
      </c>
      <c r="E12" s="6" t="n">
        <v>54</v>
      </c>
      <c r="F12" s="6" t="inlineStr">
        <is>
          <t>Minimum viable scope, warning-heavy, high residual risk.</t>
        </is>
      </c>
      <c r="G12" s="6" t="inlineStr">
        <is>
          <t>Decision trade-off: cost / time / risk / confidence</t>
        </is>
      </c>
    </row>
  </sheetData>
  <mergeCells count="1">
    <mergeCell ref="A1:G1"/>
  </mergeCells>
  <pageMargins left="0.3" right="0.3" top="0.4" bottom="0.4" header="0.3" footer="0.3"/>
  <pageSetup orientation="landscape"/>
</worksheet>
</file>

<file path=xl/worksheets/sheet5.xml><?xml version="1.0" encoding="utf-8"?>
<worksheet xmlns="http://schemas.openxmlformats.org/spreadsheetml/2006/main">
  <sheetPr>
    <outlinePr summaryBelow="1" summaryRight="1"/>
    <pageSetUpPr/>
  </sheetPr>
  <dimension ref="A1:Q23"/>
  <sheetViews>
    <sheetView showGridLines="0" zoomScale="90" zoomScaleNormal="90" workbookViewId="0">
      <pane ySplit="5" topLeftCell="A6" activePane="bottomLeft" state="frozen"/>
      <selection pane="bottomLeft" activeCell="A1" sqref="A1"/>
    </sheetView>
  </sheetViews>
  <sheetFormatPr baseColWidth="8" defaultRowHeight="15"/>
  <cols>
    <col width="10.7109375" customWidth="1" min="1" max="1"/>
    <col width="25.7109375" customWidth="1" min="2" max="2"/>
    <col width="14.7109375" customWidth="1" min="3" max="3"/>
    <col width="13.7109375" customWidth="1" min="4" max="4"/>
    <col width="36.7109375" customWidth="1" min="5" max="6"/>
    <col width="44.7109375" customWidth="1" min="7" max="7"/>
    <col width="18.7109375" customWidth="1" min="8" max="8"/>
    <col width="42.7109375" customWidth="1" min="9" max="9"/>
    <col width="30.7109375" customWidth="1" min="10" max="10"/>
    <col width="12.7109375" customWidth="1" min="11" max="12"/>
    <col width="24.7109375" customWidth="1" min="13" max="13"/>
    <col width="10.7109375" customWidth="1" min="14" max="14"/>
    <col width="24.7109375" customWidth="1" min="15" max="15"/>
    <col width="14.7109375" customWidth="1" min="16" max="17"/>
  </cols>
  <sheetData>
    <row r="1">
      <c r="A1" s="1" t="inlineStr">
        <is>
          <t>RISK REGISTER — CAUSE / EVENT / IMPACT / RESPONSE</t>
        </is>
      </c>
    </row>
    <row r="5">
      <c r="A5" s="7" t="inlineStr">
        <is>
          <t>ID</t>
        </is>
      </c>
      <c r="B5" s="7" t="inlineStr">
        <is>
          <t>Risk</t>
        </is>
      </c>
      <c r="C5" s="7" t="inlineStr">
        <is>
          <t>Category</t>
        </is>
      </c>
      <c r="D5" s="7" t="inlineStr">
        <is>
          <t>Likelihood %</t>
        </is>
      </c>
      <c r="E5" s="7" t="inlineStr">
        <is>
          <t>Cause</t>
        </is>
      </c>
      <c r="F5" s="7" t="inlineStr">
        <is>
          <t>Risk Event</t>
        </is>
      </c>
      <c r="G5" s="7" t="inlineStr">
        <is>
          <t>Impact Description</t>
        </is>
      </c>
      <c r="H5" s="7" t="inlineStr">
        <is>
          <t>Owner</t>
        </is>
      </c>
      <c r="I5" s="7" t="inlineStr">
        <is>
          <t>Mitigation / Response</t>
        </is>
      </c>
      <c r="J5" s="7" t="inlineStr">
        <is>
          <t>Trigger</t>
        </is>
      </c>
      <c r="K5" s="7" t="inlineStr">
        <is>
          <t>Residual</t>
        </is>
      </c>
      <c r="L5" s="7" t="inlineStr">
        <is>
          <t>Activity</t>
        </is>
      </c>
      <c r="M5" s="7" t="inlineStr">
        <is>
          <t>Activity Name</t>
        </is>
      </c>
      <c r="N5" s="7" t="inlineStr">
        <is>
          <t>CBS</t>
        </is>
      </c>
      <c r="O5" s="7" t="inlineStr">
        <is>
          <t>CBS Name</t>
        </is>
      </c>
      <c r="P5" s="7" t="inlineStr">
        <is>
          <t>QCRA Mean $B</t>
        </is>
      </c>
      <c r="Q5" s="7" t="inlineStr">
        <is>
          <t>QSRA Mean Days</t>
        </is>
      </c>
    </row>
    <row r="6">
      <c r="A6" s="6" t="inlineStr">
        <is>
          <t>R-002</t>
        </is>
      </c>
      <c r="B6" s="6" t="inlineStr">
        <is>
          <t>Market escalation</t>
        </is>
      </c>
      <c r="C6" s="6" t="inlineStr">
        <is>
          <t>Commercial</t>
        </is>
      </c>
      <c r="D6" s="9" t="n">
        <v>45</v>
      </c>
      <c r="E6" s="6" t="inlineStr">
        <is>
          <t>Supplier market tightness, inflation, FX and long procurement window</t>
        </is>
      </c>
      <c r="F6" s="6" t="inlineStr">
        <is>
          <t>Market escalation occurs or materialises during delivery.</t>
        </is>
      </c>
      <c r="G6" s="6" t="inlineStr">
        <is>
          <t>P50 cost becomes understated; commercial approvals or procurement strategy may need reset</t>
        </is>
      </c>
      <c r="H6" s="6" t="inlineStr">
        <is>
          <t>Commercial Lead</t>
        </is>
      </c>
      <c r="I6" s="6" t="inlineStr">
        <is>
          <t>Early procurement, index-linked allowances, market testing, FX strategy</t>
        </is>
      </c>
      <c r="J6" s="6" t="inlineStr">
        <is>
          <t>Index exceeds allowance by 3%</t>
        </is>
      </c>
      <c r="K6" s="6" t="inlineStr">
        <is>
          <t>Low</t>
        </is>
      </c>
      <c r="L6" s="6" t="inlineStr">
        <is>
          <t>A1500</t>
        </is>
      </c>
      <c r="M6" s="6" t="inlineStr">
        <is>
          <t>Procurement strategy and tender packaging</t>
        </is>
      </c>
      <c r="N6" s="6" t="inlineStr">
        <is>
          <t>01.05</t>
        </is>
      </c>
      <c r="O6" s="6" t="inlineStr">
        <is>
          <t>Specialist Equipment / Fit-Out</t>
        </is>
      </c>
      <c r="P6" s="8" t="n">
        <v>0.14</v>
      </c>
      <c r="Q6" s="9" t="n">
        <v>0.1</v>
      </c>
    </row>
    <row r="7">
      <c r="A7" s="6" t="inlineStr">
        <is>
          <t>R-004</t>
        </is>
      </c>
      <c r="B7" s="6" t="inlineStr">
        <is>
          <t>Design maturity gap</t>
        </is>
      </c>
      <c r="C7" s="6" t="inlineStr">
        <is>
          <t>Technical</t>
        </is>
      </c>
      <c r="D7" s="9" t="n">
        <v>38</v>
      </c>
      <c r="E7" s="6" t="inlineStr">
        <is>
          <t>Estimate is based on immature design, incomplete surveys or unresolved interfaces</t>
        </is>
      </c>
      <c r="F7" s="6" t="inlineStr">
        <is>
          <t>Design maturity gap occurs or materialises during delivery.</t>
        </is>
      </c>
      <c r="G7" s="6" t="inlineStr">
        <is>
          <t>Cost growth, quantity movement, rework and schedule resequencing</t>
        </is>
      </c>
      <c r="H7" s="6" t="inlineStr">
        <is>
          <t>Design Manager</t>
        </is>
      </c>
      <c r="I7" s="6" t="inlineStr">
        <is>
          <t>Design maturity gates, independent review, assumption register</t>
        </is>
      </c>
      <c r="J7" s="6" t="inlineStr">
        <is>
          <t>Design deliverables miss maturity gate</t>
        </is>
      </c>
      <c r="K7" s="6" t="inlineStr">
        <is>
          <t>Low</t>
        </is>
      </c>
      <c r="L7" s="6" t="inlineStr">
        <is>
          <t>A1700</t>
        </is>
      </c>
      <c r="M7" s="6" t="inlineStr">
        <is>
          <t>Long-lead procurement</t>
        </is>
      </c>
      <c r="N7" s="6" t="inlineStr">
        <is>
          <t>01.10</t>
        </is>
      </c>
      <c r="O7" s="6" t="inlineStr">
        <is>
          <t>Direct Materials</t>
        </is>
      </c>
      <c r="P7" s="8" t="n">
        <v>0.107</v>
      </c>
      <c r="Q7" s="9" t="n">
        <v>17.1</v>
      </c>
    </row>
    <row r="8">
      <c r="A8" s="6" t="inlineStr">
        <is>
          <t>R-001</t>
        </is>
      </c>
      <c r="B8" s="6" t="inlineStr">
        <is>
          <t>Scope growth</t>
        </is>
      </c>
      <c r="C8" s="6" t="inlineStr">
        <is>
          <t>Scope</t>
        </is>
      </c>
      <c r="D8" s="9" t="n">
        <v>42</v>
      </c>
      <c r="E8" s="6" t="inlineStr">
        <is>
          <t>Ambiguous requirements, immature scope freeze and late stakeholder changes</t>
        </is>
      </c>
      <c r="F8" s="6" t="inlineStr">
        <is>
          <t>Scope growth occurs or materialises during delivery.</t>
        </is>
      </c>
      <c r="G8" s="6" t="inlineStr">
        <is>
          <t>Additional quantities, redesign, rework, procurement churn and board contingency drawdown</t>
        </is>
      </c>
      <c r="H8" s="6" t="inlineStr">
        <is>
          <t>Project Director</t>
        </is>
      </c>
      <c r="I8" s="6" t="inlineStr">
        <is>
          <t>Freeze scope baseline, change board, value gates, client decision log</t>
        </is>
      </c>
      <c r="J8" s="6" t="inlineStr">
        <is>
          <t>Scope change rate exceeds 2% of package value</t>
        </is>
      </c>
      <c r="K8" s="6" t="inlineStr">
        <is>
          <t>Low</t>
        </is>
      </c>
      <c r="L8" s="6" t="inlineStr">
        <is>
          <t>A1400</t>
        </is>
      </c>
      <c r="M8" s="6" t="inlineStr">
        <is>
          <t>Planning, regulatory and stakeholder approvals</t>
        </is>
      </c>
      <c r="N8" s="6" t="inlineStr">
        <is>
          <t>01.04</t>
        </is>
      </c>
      <c r="O8" s="6" t="inlineStr">
        <is>
          <t>MEP / Systems / Utilities</t>
        </is>
      </c>
      <c r="P8" s="8" t="n">
        <v>0.105</v>
      </c>
      <c r="Q8" s="9" t="n">
        <v>18.9</v>
      </c>
    </row>
    <row r="9">
      <c r="A9" s="6" t="inlineStr">
        <is>
          <t>R-006</t>
        </is>
      </c>
      <c r="B9" s="6" t="inlineStr">
        <is>
          <t>Productivity underperformance</t>
        </is>
      </c>
      <c r="C9" s="6" t="inlineStr">
        <is>
          <t>Delivery</t>
        </is>
      </c>
      <c r="D9" s="9" t="n">
        <v>35</v>
      </c>
      <c r="E9" s="6" t="inlineStr">
        <is>
          <t>Access constraints, poor sequencing, labour scarcity or learning curve</t>
        </is>
      </c>
      <c r="F9" s="6" t="inlineStr">
        <is>
          <t>Productivity underperformance occurs or materialises during delivery.</t>
        </is>
      </c>
      <c r="G9" s="6" t="inlineStr">
        <is>
          <t>Extended duration, increased preliminaries and loss of float</t>
        </is>
      </c>
      <c r="H9" s="6" t="inlineStr">
        <is>
          <t>Delivery Lead</t>
        </is>
      </c>
      <c r="I9" s="6" t="inlineStr">
        <is>
          <t>Package productivity controls, daily planning, earned value cadence</t>
        </is>
      </c>
      <c r="J9" s="6" t="inlineStr">
        <is>
          <t>SPI/CPI deteriorates for two reporting periods</t>
        </is>
      </c>
      <c r="K9" s="6" t="inlineStr">
        <is>
          <t>Low</t>
        </is>
      </c>
      <c r="L9" s="6" t="inlineStr">
        <is>
          <t>A1900</t>
        </is>
      </c>
      <c r="M9" s="6" t="inlineStr">
        <is>
          <t>Main construction / fabrication / assembly</t>
        </is>
      </c>
      <c r="N9" s="6" t="inlineStr">
        <is>
          <t>02.01</t>
        </is>
      </c>
      <c r="O9" s="6" t="inlineStr">
        <is>
          <t>General Conditions / Prelims</t>
        </is>
      </c>
      <c r="P9" s="8" t="n">
        <v>0.08699999999999999</v>
      </c>
      <c r="Q9" s="9" t="n">
        <v>17.5</v>
      </c>
    </row>
    <row r="10">
      <c r="A10" s="6" t="inlineStr">
        <is>
          <t>R-005</t>
        </is>
      </c>
      <c r="B10" s="6" t="inlineStr">
        <is>
          <t>Supply chain delay</t>
        </is>
      </c>
      <c r="C10" s="6" t="inlineStr">
        <is>
          <t>Procurement</t>
        </is>
      </c>
      <c r="D10" s="9" t="n">
        <v>40</v>
      </c>
      <c r="E10" s="6" t="inlineStr">
        <is>
          <t>Long-lead equipment, constrained suppliers or late procurement release</t>
        </is>
      </c>
      <c r="F10" s="6" t="inlineStr">
        <is>
          <t>Supply chain delay occurs or materialises during delivery.</t>
        </is>
      </c>
      <c r="G10" s="6" t="inlineStr">
        <is>
          <t>Delayed installation, critical path movement and acceleration cost</t>
        </is>
      </c>
      <c r="H10" s="6" t="inlineStr">
        <is>
          <t>Procurement Lead</t>
        </is>
      </c>
      <c r="I10" s="6" t="inlineStr">
        <is>
          <t>Alternate suppliers, early orders, expediting, framework options</t>
        </is>
      </c>
      <c r="J10" s="6" t="inlineStr">
        <is>
          <t>Supplier promise date slips</t>
        </is>
      </c>
      <c r="K10" s="6" t="inlineStr">
        <is>
          <t>Low</t>
        </is>
      </c>
      <c r="L10" s="6" t="inlineStr">
        <is>
          <t>A1800</t>
        </is>
      </c>
      <c r="M10" s="6" t="inlineStr">
        <is>
          <t>Site / launch integration readiness</t>
        </is>
      </c>
      <c r="N10" s="6" t="inlineStr">
        <is>
          <t>01.11</t>
        </is>
      </c>
      <c r="O10" s="6" t="inlineStr">
        <is>
          <t>Plant / Equipment</t>
        </is>
      </c>
      <c r="P10" s="8" t="n">
        <v>0.08699999999999999</v>
      </c>
      <c r="Q10" s="9" t="n">
        <v>16</v>
      </c>
    </row>
    <row r="11">
      <c r="A11" s="6" t="inlineStr">
        <is>
          <t>R-008</t>
        </is>
      </c>
      <c r="B11" s="6" t="inlineStr">
        <is>
          <t>Interface misalignment</t>
        </is>
      </c>
      <c r="C11" s="6" t="inlineStr">
        <is>
          <t>Integration</t>
        </is>
      </c>
      <c r="D11" s="9" t="n">
        <v>34</v>
      </c>
      <c r="E11" s="6" t="inlineStr">
        <is>
          <t>Multiple contractors, unclear interface ownership or late design coordination</t>
        </is>
      </c>
      <c r="F11" s="6" t="inlineStr">
        <is>
          <t>Interface misalignment occurs or materialises during delivery.</t>
        </is>
      </c>
      <c r="G11" s="6" t="inlineStr">
        <is>
          <t>Rework, claims, delay and fragmented accountability</t>
        </is>
      </c>
      <c r="H11" s="6" t="inlineStr">
        <is>
          <t>Integration Manager</t>
        </is>
      </c>
      <c r="I11" s="6" t="inlineStr">
        <is>
          <t>Interface control documents, weekly interface board, accountable owners</t>
        </is>
      </c>
      <c r="J11" s="6" t="inlineStr">
        <is>
          <t>Interface actions overdue</t>
        </is>
      </c>
      <c r="K11" s="6" t="inlineStr">
        <is>
          <t>Low</t>
        </is>
      </c>
      <c r="L11" s="6" t="inlineStr">
        <is>
          <t>A2100</t>
        </is>
      </c>
      <c r="M11" s="6" t="inlineStr">
        <is>
          <t>Commissioning, operations readiness and closeout</t>
        </is>
      </c>
      <c r="N11" s="6" t="inlineStr">
        <is>
          <t>02.03</t>
        </is>
      </c>
      <c r="O11" s="6" t="inlineStr">
        <is>
          <t>Permits / Insurance / Bonds</t>
        </is>
      </c>
      <c r="P11" s="8" t="n">
        <v>0.074</v>
      </c>
      <c r="Q11" s="9" t="n">
        <v>11.9</v>
      </c>
    </row>
    <row r="12">
      <c r="A12" s="6" t="inlineStr">
        <is>
          <t>R-007</t>
        </is>
      </c>
      <c r="B12" s="6" t="inlineStr">
        <is>
          <t>Commissioning delay</t>
        </is>
      </c>
      <c r="C12" s="6" t="inlineStr">
        <is>
          <t>Handover</t>
        </is>
      </c>
      <c r="D12" s="9" t="n">
        <v>32</v>
      </c>
      <c r="E12" s="6" t="inlineStr">
        <is>
          <t>Incomplete readiness, software integration issues or defects during testing</t>
        </is>
      </c>
      <c r="F12" s="6" t="inlineStr">
        <is>
          <t>Commissioning delay occurs or materialises during delivery.</t>
        </is>
      </c>
      <c r="G12" s="6" t="inlineStr">
        <is>
          <t>Delayed handover, operational readiness slippage and liquidated damages exposure</t>
        </is>
      </c>
      <c r="H12" s="6" t="inlineStr">
        <is>
          <t>Commissioning Lead</t>
        </is>
      </c>
      <c r="I12" s="6" t="inlineStr">
        <is>
          <t>Commissioning readiness plan, early test packs, digital systems integration</t>
        </is>
      </c>
      <c r="J12" s="6" t="inlineStr">
        <is>
          <t>Test failures trend upward</t>
        </is>
      </c>
      <c r="K12" s="6" t="inlineStr">
        <is>
          <t>Low</t>
        </is>
      </c>
      <c r="L12" s="6" t="inlineStr">
        <is>
          <t>A2000</t>
        </is>
      </c>
      <c r="M12" s="6" t="inlineStr">
        <is>
          <t>Systems integration and testing</t>
        </is>
      </c>
      <c r="N12" s="6" t="inlineStr">
        <is>
          <t>02.02</t>
        </is>
      </c>
      <c r="O12" s="6" t="inlineStr">
        <is>
          <t>Design / Professional Fees</t>
        </is>
      </c>
      <c r="P12" s="8" t="n">
        <v>0.06</v>
      </c>
      <c r="Q12" s="9" t="n">
        <v>11.2</v>
      </c>
    </row>
    <row r="13">
      <c r="A13" s="6" t="inlineStr">
        <is>
          <t>R-003</t>
        </is>
      </c>
      <c r="B13" s="6" t="inlineStr">
        <is>
          <t>Permits / approvals delay</t>
        </is>
      </c>
      <c r="C13" s="6" t="inlineStr">
        <is>
          <t>Regulatory</t>
        </is>
      </c>
      <c r="D13" s="9" t="n">
        <v>35</v>
      </c>
      <c r="E13" s="6" t="inlineStr">
        <is>
          <t>Authority process, stakeholder objections or incomplete submissions</t>
        </is>
      </c>
      <c r="F13" s="6" t="inlineStr">
        <is>
          <t>Permits / approvals delay occurs or materialises during delivery.</t>
        </is>
      </c>
      <c r="G13" s="6" t="inlineStr">
        <is>
          <t>Critical path delay, extended preliminaries and potential redesign conditions</t>
        </is>
      </c>
      <c r="H13" s="6" t="inlineStr">
        <is>
          <t>Consents Lead</t>
        </is>
      </c>
      <c r="I13" s="6" t="inlineStr">
        <is>
          <t>Authority plan, consent tracker, early submissions, stakeholder map</t>
        </is>
      </c>
      <c r="J13" s="6" t="inlineStr">
        <is>
          <t>Consent milestone slips by 30 days</t>
        </is>
      </c>
      <c r="K13" s="6" t="inlineStr">
        <is>
          <t>Low</t>
        </is>
      </c>
      <c r="L13" s="6" t="inlineStr">
        <is>
          <t>A1600</t>
        </is>
      </c>
      <c r="M13" s="6" t="inlineStr">
        <is>
          <t>Detailed design / IFC development</t>
        </is>
      </c>
      <c r="N13" s="6" t="inlineStr">
        <is>
          <t>01.09</t>
        </is>
      </c>
      <c r="O13" s="6" t="inlineStr">
        <is>
          <t>Direct Labour</t>
        </is>
      </c>
      <c r="P13" s="8" t="n">
        <v>0.044</v>
      </c>
      <c r="Q13" s="9" t="n">
        <v>24.5</v>
      </c>
    </row>
    <row r="14">
      <c r="A14" s="6" t="inlineStr">
        <is>
          <t>R-013</t>
        </is>
      </c>
      <c r="B14" s="6" t="inlineStr">
        <is>
          <t>Weather / environmental disruption</t>
        </is>
      </c>
      <c r="C14" s="6" t="inlineStr">
        <is>
          <t>Delivery</t>
        </is>
      </c>
      <c r="D14" s="9" t="n">
        <v>46</v>
      </c>
      <c r="E14" s="6" t="inlineStr">
        <is>
          <t>Extreme weather, environmental windows or site constraints not fully allowed</t>
        </is>
      </c>
      <c r="F14" s="6" t="inlineStr">
        <is>
          <t>Workface access or productivity is disrupted</t>
        </is>
      </c>
      <c r="G14" s="6" t="inlineStr">
        <is>
          <t>Delay, access cost and resequencing</t>
        </is>
      </c>
      <c r="H14" s="6" t="inlineStr">
        <is>
          <t>Construction Manager</t>
        </is>
      </c>
      <c r="I14" s="6" t="inlineStr">
        <is>
          <t>Weather calendars, contingency workfronts, protection strategy</t>
        </is>
      </c>
      <c r="J14" s="6" t="inlineStr">
        <is>
          <t>Weather downtime exceeds allowance</t>
        </is>
      </c>
      <c r="K14" s="6" t="inlineStr">
        <is>
          <t>Red</t>
        </is>
      </c>
      <c r="L14" s="6" t="inlineStr">
        <is>
          <t>A1900</t>
        </is>
      </c>
      <c r="M14" s="6" t="inlineStr">
        <is>
          <t>Linked schedule activity</t>
        </is>
      </c>
      <c r="N14" s="6" t="inlineStr">
        <is>
          <t>01.03</t>
        </is>
      </c>
      <c r="O14" s="6" t="inlineStr">
        <is>
          <t>Linked cost package</t>
        </is>
      </c>
      <c r="P14" s="8" t="n">
        <v>0.026</v>
      </c>
      <c r="Q14" s="9" t="n">
        <v>11.9</v>
      </c>
    </row>
    <row r="15">
      <c r="A15" s="6" t="inlineStr">
        <is>
          <t>R-011</t>
        </is>
      </c>
      <c r="B15" s="6" t="inlineStr">
        <is>
          <t>Quality failure / rework</t>
        </is>
      </c>
      <c r="C15" s="6" t="inlineStr">
        <is>
          <t>Delivery</t>
        </is>
      </c>
      <c r="D15" s="9" t="n">
        <v>38</v>
      </c>
      <c r="E15" s="6" t="inlineStr">
        <is>
          <t>Installation quality, vendor QA or inspection regime below need</t>
        </is>
      </c>
      <c r="F15" s="6" t="inlineStr">
        <is>
          <t>Inspection failure triggers rework</t>
        </is>
      </c>
      <c r="G15" s="6" t="inlineStr">
        <is>
          <t>Rework cost, schedule delay and confidence loss</t>
        </is>
      </c>
      <c r="H15" s="6" t="inlineStr">
        <is>
          <t>Quality Manager</t>
        </is>
      </c>
      <c r="I15" s="6" t="inlineStr">
        <is>
          <t>ITPs, hold points, vendor QA, right-first-time reviews</t>
        </is>
      </c>
      <c r="J15" s="6" t="inlineStr">
        <is>
          <t>NCR trend increases</t>
        </is>
      </c>
      <c r="K15" s="6" t="inlineStr">
        <is>
          <t>Amber</t>
        </is>
      </c>
      <c r="L15" s="6" t="inlineStr">
        <is>
          <t>A1700</t>
        </is>
      </c>
      <c r="M15" s="6" t="inlineStr">
        <is>
          <t>Linked schedule activity</t>
        </is>
      </c>
      <c r="N15" s="6" t="inlineStr">
        <is>
          <t>01.01</t>
        </is>
      </c>
      <c r="O15" s="6" t="inlineStr">
        <is>
          <t>Linked cost package</t>
        </is>
      </c>
      <c r="P15" s="8" t="n">
        <v>0.015</v>
      </c>
      <c r="Q15" s="9" t="n">
        <v>19</v>
      </c>
    </row>
    <row r="16">
      <c r="A16" s="6" t="inlineStr">
        <is>
          <t>R-017</t>
        </is>
      </c>
      <c r="B16" s="6" t="inlineStr">
        <is>
          <t>Data / estimate basis weakness</t>
        </is>
      </c>
      <c r="C16" s="6" t="inlineStr">
        <is>
          <t>Delivery</t>
        </is>
      </c>
      <c r="D16" s="9" t="n">
        <v>34</v>
      </c>
      <c r="E16" s="6" t="inlineStr">
        <is>
          <t>Estimate source data, quantities or benchmarks are incomplete</t>
        </is>
      </c>
      <c r="F16" s="6" t="inlineStr">
        <is>
          <t>Baseline cannot be defended under challenge</t>
        </is>
      </c>
      <c r="G16" s="6" t="inlineStr">
        <is>
          <t>Confidence reduction and rework of cost plan</t>
        </is>
      </c>
      <c r="H16" s="6" t="inlineStr">
        <is>
          <t>Cost Lead</t>
        </is>
      </c>
      <c r="I16" s="6" t="inlineStr">
        <is>
          <t>Assumption register, benchmark evidence, quantity validation</t>
        </is>
      </c>
      <c r="J16" s="6" t="inlineStr">
        <is>
          <t>Unknown allowance exceeds threshold</t>
        </is>
      </c>
      <c r="K16" s="6" t="inlineStr">
        <is>
          <t>Amber</t>
        </is>
      </c>
      <c r="L16" s="6" t="inlineStr">
        <is>
          <t>A1500</t>
        </is>
      </c>
      <c r="M16" s="6" t="inlineStr">
        <is>
          <t>Linked schedule activity</t>
        </is>
      </c>
      <c r="N16" s="6" t="inlineStr">
        <is>
          <t>01.07</t>
        </is>
      </c>
      <c r="O16" s="6" t="inlineStr">
        <is>
          <t>Linked cost package</t>
        </is>
      </c>
      <c r="P16" s="8" t="n">
        <v>0.015</v>
      </c>
      <c r="Q16" s="9" t="n">
        <v>17</v>
      </c>
    </row>
    <row r="17">
      <c r="A17" s="6" t="inlineStr">
        <is>
          <t>R-009</t>
        </is>
      </c>
      <c r="B17" s="6" t="inlineStr">
        <is>
          <t>Commercial claims escalation</t>
        </is>
      </c>
      <c r="C17" s="6" t="inlineStr">
        <is>
          <t>Delivery</t>
        </is>
      </c>
      <c r="D17" s="9" t="n">
        <v>30</v>
      </c>
      <c r="E17" s="6" t="inlineStr">
        <is>
          <t>Contract ambiguity, change volume and interface disputes</t>
        </is>
      </c>
      <c r="F17" s="6" t="inlineStr">
        <is>
          <t>Claims submitted above allowance</t>
        </is>
      </c>
      <c r="G17" s="6" t="inlineStr">
        <is>
          <t>Commercial pressure, management distraction and increased outturn cost</t>
        </is>
      </c>
      <c r="H17" s="6" t="inlineStr">
        <is>
          <t>Commercial Lead</t>
        </is>
      </c>
      <c r="I17" s="6" t="inlineStr">
        <is>
          <t>Tight change control, entitlement reviews, dispute avoidance board</t>
        </is>
      </c>
      <c r="J17" s="6" t="inlineStr">
        <is>
          <t>Claim volume exceeds baseline</t>
        </is>
      </c>
      <c r="K17" s="6" t="inlineStr">
        <is>
          <t>Amber</t>
        </is>
      </c>
      <c r="L17" s="6" t="inlineStr">
        <is>
          <t>A1500</t>
        </is>
      </c>
      <c r="M17" s="6" t="inlineStr">
        <is>
          <t>Linked schedule activity</t>
        </is>
      </c>
      <c r="N17" s="6" t="inlineStr">
        <is>
          <t>01.10</t>
        </is>
      </c>
      <c r="O17" s="6" t="inlineStr">
        <is>
          <t>Linked cost package</t>
        </is>
      </c>
      <c r="P17" s="8" t="n">
        <v>0.02</v>
      </c>
      <c r="Q17" s="9" t="n">
        <v>11.4</v>
      </c>
    </row>
    <row r="18">
      <c r="A18" s="6" t="inlineStr">
        <is>
          <t>R-010</t>
        </is>
      </c>
      <c r="B18" s="6" t="inlineStr">
        <is>
          <t>Resource availability</t>
        </is>
      </c>
      <c r="C18" s="6" t="inlineStr">
        <is>
          <t>Delivery</t>
        </is>
      </c>
      <c r="D18" s="9" t="n">
        <v>34</v>
      </c>
      <c r="E18" s="6" t="inlineStr">
        <is>
          <t>Labour, specialist supervisors or commissioning teams constrained</t>
        </is>
      </c>
      <c r="F18" s="6" t="inlineStr">
        <is>
          <t>Required resources are unavailable when planned</t>
        </is>
      </c>
      <c r="G18" s="6" t="inlineStr">
        <is>
          <t>Productivity loss, resequencing and higher preliminaries</t>
        </is>
      </c>
      <c r="H18" s="6" t="inlineStr">
        <is>
          <t>Delivery Lead</t>
        </is>
      </c>
      <c r="I18" s="6" t="inlineStr">
        <is>
          <t>Resource loading, framework call-offs, labour strategy</t>
        </is>
      </c>
      <c r="J18" s="6" t="inlineStr">
        <is>
          <t>Resource histogram red flag</t>
        </is>
      </c>
      <c r="K18" s="6" t="inlineStr">
        <is>
          <t>Amber</t>
        </is>
      </c>
      <c r="L18" s="6" t="inlineStr">
        <is>
          <t>A1600</t>
        </is>
      </c>
      <c r="M18" s="6" t="inlineStr">
        <is>
          <t>Linked schedule activity</t>
        </is>
      </c>
      <c r="N18" s="6" t="inlineStr">
        <is>
          <t>01.11</t>
        </is>
      </c>
      <c r="O18" s="6" t="inlineStr">
        <is>
          <t>Linked cost package</t>
        </is>
      </c>
      <c r="P18" s="8" t="n">
        <v>0.015</v>
      </c>
      <c r="Q18" s="9" t="n">
        <v>14.9</v>
      </c>
    </row>
    <row r="19">
      <c r="A19" s="6" t="inlineStr">
        <is>
          <t>R-018</t>
        </is>
      </c>
      <c r="B19" s="6" t="inlineStr">
        <is>
          <t>Interface ownership gap</t>
        </is>
      </c>
      <c r="C19" s="6" t="inlineStr">
        <is>
          <t>Delivery</t>
        </is>
      </c>
      <c r="D19" s="9" t="n">
        <v>38</v>
      </c>
      <c r="E19" s="6" t="inlineStr">
        <is>
          <t>RACI and package boundaries are unclear across packages</t>
        </is>
      </c>
      <c r="F19" s="6" t="inlineStr">
        <is>
          <t>Interface issue has no accountable owner</t>
        </is>
      </c>
      <c r="G19" s="6" t="inlineStr">
        <is>
          <t>Delay, claims and fragmented accountability</t>
        </is>
      </c>
      <c r="H19" s="6" t="inlineStr">
        <is>
          <t>Integration Manager</t>
        </is>
      </c>
      <c r="I19" s="6" t="inlineStr">
        <is>
          <t>Interface control documents and owner matrix</t>
        </is>
      </c>
      <c r="J19" s="6" t="inlineStr">
        <is>
          <t>Interface actions overdue</t>
        </is>
      </c>
      <c r="K19" s="6" t="inlineStr">
        <is>
          <t>Amber</t>
        </is>
      </c>
      <c r="L19" s="6" t="inlineStr">
        <is>
          <t>A1600</t>
        </is>
      </c>
      <c r="M19" s="6" t="inlineStr">
        <is>
          <t>Linked schedule activity</t>
        </is>
      </c>
      <c r="N19" s="6" t="inlineStr">
        <is>
          <t>01.08</t>
        </is>
      </c>
      <c r="O19" s="6" t="inlineStr">
        <is>
          <t>Linked cost package</t>
        </is>
      </c>
      <c r="P19" s="8" t="n">
        <v>0.021</v>
      </c>
      <c r="Q19" s="9" t="n">
        <v>7.6</v>
      </c>
    </row>
    <row r="20">
      <c r="A20" s="6" t="inlineStr">
        <is>
          <t>R-016</t>
        </is>
      </c>
      <c r="B20" s="6" t="inlineStr">
        <is>
          <t>Commissioning readiness gap</t>
        </is>
      </c>
      <c r="C20" s="6" t="inlineStr">
        <is>
          <t>Delivery</t>
        </is>
      </c>
      <c r="D20" s="9" t="n">
        <v>30</v>
      </c>
      <c r="E20" s="6" t="inlineStr">
        <is>
          <t>Incomplete test packs, operational readiness or training gaps</t>
        </is>
      </c>
      <c r="F20" s="6" t="inlineStr">
        <is>
          <t>Commissioning starts without readiness</t>
        </is>
      </c>
      <c r="G20" s="6" t="inlineStr">
        <is>
          <t>Repeated tests, handover delay and operational risk</t>
        </is>
      </c>
      <c r="H20" s="6" t="inlineStr">
        <is>
          <t>Commissioning Lead</t>
        </is>
      </c>
      <c r="I20" s="6" t="inlineStr">
        <is>
          <t>Readiness dashboard, integrated test plan, early ORAT</t>
        </is>
      </c>
      <c r="J20" s="6" t="inlineStr">
        <is>
          <t>Readiness score below threshold</t>
        </is>
      </c>
      <c r="K20" s="6" t="inlineStr">
        <is>
          <t>Amber</t>
        </is>
      </c>
      <c r="L20" s="6" t="inlineStr">
        <is>
          <t>A1400</t>
        </is>
      </c>
      <c r="M20" s="6" t="inlineStr">
        <is>
          <t>Linked schedule activity</t>
        </is>
      </c>
      <c r="N20" s="6" t="inlineStr">
        <is>
          <t>01.06</t>
        </is>
      </c>
      <c r="O20" s="6" t="inlineStr">
        <is>
          <t>Linked cost package</t>
        </is>
      </c>
      <c r="P20" s="8" t="n">
        <v>0.015</v>
      </c>
      <c r="Q20" s="9" t="n">
        <v>13.2</v>
      </c>
    </row>
    <row r="21">
      <c r="A21" s="6" t="inlineStr">
        <is>
          <t>R-012</t>
        </is>
      </c>
      <c r="B21" s="6" t="inlineStr">
        <is>
          <t>Cyber / controls integration</t>
        </is>
      </c>
      <c r="C21" s="6" t="inlineStr">
        <is>
          <t>Delivery</t>
        </is>
      </c>
      <c r="D21" s="9" t="n">
        <v>42</v>
      </c>
      <c r="E21" s="6" t="inlineStr">
        <is>
          <t>Operational technology, control systems and network interfaces immature</t>
        </is>
      </c>
      <c r="F21" s="6" t="inlineStr">
        <is>
          <t>Controls integration fails testing</t>
        </is>
      </c>
      <c r="G21" s="6" t="inlineStr">
        <is>
          <t>Commissioning delay, resilience issue and operational risk</t>
        </is>
      </c>
      <c r="H21" s="6" t="inlineStr">
        <is>
          <t>Systems Lead</t>
        </is>
      </c>
      <c r="I21" s="6" t="inlineStr">
        <is>
          <t>Early cyber review, FAT/SAT plan, integration lab</t>
        </is>
      </c>
      <c r="J21" s="6" t="inlineStr">
        <is>
          <t>Controls defect trend increases</t>
        </is>
      </c>
      <c r="K21" s="6" t="inlineStr">
        <is>
          <t>Amber</t>
        </is>
      </c>
      <c r="L21" s="6" t="inlineStr">
        <is>
          <t>A1800</t>
        </is>
      </c>
      <c r="M21" s="6" t="inlineStr">
        <is>
          <t>Linked schedule activity</t>
        </is>
      </c>
      <c r="N21" s="6" t="inlineStr">
        <is>
          <t>01.02</t>
        </is>
      </c>
      <c r="O21" s="6" t="inlineStr">
        <is>
          <t>Linked cost package</t>
        </is>
      </c>
      <c r="P21" s="8" t="n">
        <v>0.018</v>
      </c>
      <c r="Q21" s="9" t="n">
        <v>8.4</v>
      </c>
    </row>
    <row r="22">
      <c r="A22" s="6" t="inlineStr">
        <is>
          <t>R-015</t>
        </is>
      </c>
      <c r="B22" s="6" t="inlineStr">
        <is>
          <t>Funding / approval gate delay</t>
        </is>
      </c>
      <c r="C22" s="6" t="inlineStr">
        <is>
          <t>Delivery</t>
        </is>
      </c>
      <c r="D22" s="9" t="n">
        <v>26</v>
      </c>
      <c r="E22" s="6" t="inlineStr">
        <is>
          <t>Investment approvals or staged funding gates not aligned with procurement</t>
        </is>
      </c>
      <c r="F22" s="6" t="inlineStr">
        <is>
          <t>Capital release is delayed</t>
        </is>
      </c>
      <c r="G22" s="6" t="inlineStr">
        <is>
          <t>Procurement missed windows and schedule slippage</t>
        </is>
      </c>
      <c r="H22" s="6" t="inlineStr">
        <is>
          <t>Sponsor</t>
        </is>
      </c>
      <c r="I22" s="6" t="inlineStr">
        <is>
          <t>Approval roadmap, early board papers, contingency approvals</t>
        </is>
      </c>
      <c r="J22" s="6" t="inlineStr">
        <is>
          <t>Approval date slips</t>
        </is>
      </c>
      <c r="K22" s="6" t="inlineStr">
        <is>
          <t>Amber</t>
        </is>
      </c>
      <c r="L22" s="6" t="inlineStr">
        <is>
          <t>A2100</t>
        </is>
      </c>
      <c r="M22" s="6" t="inlineStr">
        <is>
          <t>Linked schedule activity</t>
        </is>
      </c>
      <c r="N22" s="6" t="inlineStr">
        <is>
          <t>01.05</t>
        </is>
      </c>
      <c r="O22" s="6" t="inlineStr">
        <is>
          <t>Linked cost package</t>
        </is>
      </c>
      <c r="P22" s="8" t="n">
        <v>0.015</v>
      </c>
      <c r="Q22" s="9" t="n">
        <v>9.9</v>
      </c>
    </row>
    <row r="23">
      <c r="A23" s="6" t="inlineStr">
        <is>
          <t>R-014</t>
        </is>
      </c>
      <c r="B23" s="6" t="inlineStr">
        <is>
          <t>Stakeholder change</t>
        </is>
      </c>
      <c r="C23" s="6" t="inlineStr">
        <is>
          <t>Delivery</t>
        </is>
      </c>
      <c r="D23" s="9" t="n">
        <v>22</v>
      </c>
      <c r="E23" s="6" t="inlineStr">
        <is>
          <t>Sponsor, operator or authority requirements evolve late</t>
        </is>
      </c>
      <c r="F23" s="6" t="inlineStr">
        <is>
          <t>Requirements change after baseline freeze</t>
        </is>
      </c>
      <c r="G23" s="6" t="inlineStr">
        <is>
          <t>Scope growth, redesign and approval delays</t>
        </is>
      </c>
      <c r="H23" s="6" t="inlineStr">
        <is>
          <t>Project Director</t>
        </is>
      </c>
      <c r="I23" s="6" t="inlineStr">
        <is>
          <t>Decision log, change board and stakeholder gates</t>
        </is>
      </c>
      <c r="J23" s="6" t="inlineStr">
        <is>
          <t>Late decision count increases</t>
        </is>
      </c>
      <c r="K23" s="6" t="inlineStr">
        <is>
          <t>Green</t>
        </is>
      </c>
      <c r="L23" s="6" t="inlineStr">
        <is>
          <t>A2000</t>
        </is>
      </c>
      <c r="M23" s="6" t="inlineStr">
        <is>
          <t>Linked schedule activity</t>
        </is>
      </c>
      <c r="N23" s="6" t="inlineStr">
        <is>
          <t>01.04</t>
        </is>
      </c>
      <c r="O23" s="6" t="inlineStr">
        <is>
          <t>Linked cost package</t>
        </is>
      </c>
      <c r="P23" s="8" t="n">
        <v>0.015</v>
      </c>
      <c r="Q23" s="9" t="n">
        <v>7</v>
      </c>
    </row>
  </sheetData>
  <mergeCells count="1">
    <mergeCell ref="A1:Q1"/>
  </mergeCells>
  <conditionalFormatting sqref="K6:K23">
    <cfRule type="containsText" priority="1" operator="containsText" dxfId="0" text="Red">
      <formula>NOT(ISERROR(SEARCH("Red",K6)))</formula>
    </cfRule>
    <cfRule type="containsText" priority="2" operator="containsText" dxfId="1" text="Amber">
      <formula>NOT(ISERROR(SEARCH("Amber",K6)))</formula>
    </cfRule>
    <cfRule type="containsText" priority="3" operator="containsText" dxfId="2" text="Green">
      <formula>NOT(ISERROR(SEARCH("Green",K6)))</formula>
    </cfRule>
  </conditionalFormatting>
  <pageMargins left="0.3" right="0.3" top="0.4" bottom="0.4" header="0.3" footer="0.3"/>
  <pageSetup orientation="landscape"/>
</worksheet>
</file>

<file path=xl/worksheets/sheet6.xml><?xml version="1.0" encoding="utf-8"?>
<worksheet xmlns="http://schemas.openxmlformats.org/spreadsheetml/2006/main">
  <sheetPr>
    <outlinePr summaryBelow="1" summaryRight="1"/>
    <pageSetUpPr/>
  </sheetPr>
  <dimension ref="A1:D18"/>
  <sheetViews>
    <sheetView showGridLines="0" zoomScale="90" zoomScaleNormal="90" workbookViewId="0">
      <pane ySplit="5" topLeftCell="A6" activePane="bottomLeft" state="frozen"/>
      <selection pane="bottomLeft" activeCell="A1" sqref="A1"/>
    </sheetView>
  </sheetViews>
  <sheetFormatPr baseColWidth="8" defaultRowHeight="15"/>
  <cols>
    <col width="14.7109375" customWidth="1" min="1" max="2"/>
  </cols>
  <sheetData>
    <row r="1">
      <c r="A1" s="1" t="inlineStr">
        <is>
          <t>QCRA COST CONFIDENCE CURVE</t>
        </is>
      </c>
    </row>
    <row r="5">
      <c r="A5" s="7" t="inlineStr">
        <is>
          <t>Percentile</t>
        </is>
      </c>
      <c r="B5" s="7" t="inlineStr">
        <is>
          <t>Cost $B</t>
        </is>
      </c>
    </row>
    <row r="6">
      <c r="A6" s="6" t="n">
        <v>1</v>
      </c>
      <c r="B6" s="8" t="n">
        <v>2.42</v>
      </c>
    </row>
    <row r="7">
      <c r="A7" s="6" t="n">
        <v>5</v>
      </c>
      <c r="B7" s="8" t="n">
        <v>2.51</v>
      </c>
    </row>
    <row r="8">
      <c r="A8" s="6" t="n">
        <v>10</v>
      </c>
      <c r="B8" s="8" t="n">
        <v>2.6</v>
      </c>
    </row>
    <row r="9">
      <c r="A9" s="6" t="n">
        <v>20</v>
      </c>
      <c r="B9" s="8" t="n">
        <v>2.76</v>
      </c>
    </row>
    <row r="10">
      <c r="A10" s="6" t="n">
        <v>30</v>
      </c>
      <c r="B10" s="8" t="n">
        <v>2.88</v>
      </c>
    </row>
    <row r="11">
      <c r="A11" s="6" t="n">
        <v>40</v>
      </c>
      <c r="B11" s="8" t="n">
        <v>3.01</v>
      </c>
    </row>
    <row r="12">
      <c r="A12" s="6" t="n">
        <v>50</v>
      </c>
      <c r="B12" s="8" t="n">
        <v>3.1</v>
      </c>
    </row>
    <row r="13">
      <c r="A13" s="6" t="n">
        <v>60</v>
      </c>
      <c r="B13" s="8" t="n">
        <v>3.29</v>
      </c>
    </row>
    <row r="14">
      <c r="A14" s="6" t="n">
        <v>70</v>
      </c>
      <c r="B14" s="8" t="n">
        <v>3.56</v>
      </c>
    </row>
    <row r="15">
      <c r="A15" s="6" t="n">
        <v>80</v>
      </c>
      <c r="B15" s="8" t="n">
        <v>4.03</v>
      </c>
    </row>
    <row r="16">
      <c r="A16" s="6" t="n">
        <v>90</v>
      </c>
      <c r="B16" s="8" t="n">
        <v>4.56</v>
      </c>
    </row>
    <row r="17">
      <c r="A17" s="6" t="n">
        <v>95</v>
      </c>
      <c r="B17" s="8" t="n">
        <v>4.9</v>
      </c>
    </row>
    <row r="18">
      <c r="A18" s="6" t="n">
        <v>99</v>
      </c>
      <c r="B18" s="8" t="n">
        <v>5.33</v>
      </c>
    </row>
  </sheetData>
  <mergeCells count="1">
    <mergeCell ref="A1:D1"/>
  </mergeCells>
  <pageMargins left="0.3" right="0.3" top="0.4" bottom="0.4" header="0.3" footer="0.3"/>
  <pageSetup orientation="landscape"/>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D18"/>
  <sheetViews>
    <sheetView showGridLines="0" zoomScale="90" zoomScaleNormal="90" workbookViewId="0">
      <pane ySplit="5" topLeftCell="A6" activePane="bottomLeft" state="frozen"/>
      <selection pane="bottomLeft" activeCell="A1" sqref="A1"/>
    </sheetView>
  </sheetViews>
  <sheetFormatPr baseColWidth="8" defaultRowHeight="15"/>
  <cols>
    <col width="14.7109375" customWidth="1" min="1" max="1"/>
    <col width="18.7109375" customWidth="1" min="2" max="2"/>
  </cols>
  <sheetData>
    <row r="1">
      <c r="A1" s="1" t="inlineStr">
        <is>
          <t>QSRA SCHEDULE CONFIDENCE CURVE</t>
        </is>
      </c>
    </row>
    <row r="5">
      <c r="A5" s="7" t="inlineStr">
        <is>
          <t>Percentile</t>
        </is>
      </c>
      <c r="B5" s="7" t="inlineStr">
        <is>
          <t>Duration Months</t>
        </is>
      </c>
    </row>
    <row r="6">
      <c r="A6" s="6" t="n">
        <v>1</v>
      </c>
      <c r="B6" s="9" t="n">
        <v>47</v>
      </c>
    </row>
    <row r="7">
      <c r="A7" s="6" t="n">
        <v>5</v>
      </c>
      <c r="B7" s="9" t="n">
        <v>48</v>
      </c>
    </row>
    <row r="8">
      <c r="A8" s="6" t="n">
        <v>10</v>
      </c>
      <c r="B8" s="9" t="n">
        <v>49</v>
      </c>
    </row>
    <row r="9">
      <c r="A9" s="6" t="n">
        <v>20</v>
      </c>
      <c r="B9" s="9" t="n">
        <v>51</v>
      </c>
    </row>
    <row r="10">
      <c r="A10" s="6" t="n">
        <v>30</v>
      </c>
      <c r="B10" s="9" t="n">
        <v>54</v>
      </c>
    </row>
    <row r="11">
      <c r="A11" s="6" t="n">
        <v>40</v>
      </c>
      <c r="B11" s="9" t="n">
        <v>55</v>
      </c>
    </row>
    <row r="12">
      <c r="A12" s="6" t="n">
        <v>50</v>
      </c>
      <c r="B12" s="9" t="n">
        <v>57</v>
      </c>
    </row>
    <row r="13">
      <c r="A13" s="6" t="n">
        <v>60</v>
      </c>
      <c r="B13" s="9" t="n">
        <v>60</v>
      </c>
    </row>
    <row r="14">
      <c r="A14" s="6" t="n">
        <v>70</v>
      </c>
      <c r="B14" s="9" t="n">
        <v>66</v>
      </c>
    </row>
    <row r="15">
      <c r="A15" s="6" t="n">
        <v>80</v>
      </c>
      <c r="B15" s="9" t="n">
        <v>74</v>
      </c>
    </row>
    <row r="16">
      <c r="A16" s="6" t="n">
        <v>90</v>
      </c>
      <c r="B16" s="9" t="n">
        <v>84</v>
      </c>
    </row>
    <row r="17">
      <c r="A17" s="6" t="n">
        <v>95</v>
      </c>
      <c r="B17" s="9" t="n">
        <v>90</v>
      </c>
    </row>
    <row r="18">
      <c r="A18" s="6" t="n">
        <v>99</v>
      </c>
      <c r="B18" s="9" t="n">
        <v>98</v>
      </c>
    </row>
  </sheetData>
  <mergeCells count="1">
    <mergeCell ref="A1:D1"/>
  </mergeCells>
  <pageMargins left="0.3" right="0.3" top="0.4" bottom="0.4" header="0.3" footer="0.3"/>
  <pageSetup orientation="landscape"/>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E17"/>
  <sheetViews>
    <sheetView showGridLines="0" zoomScale="90" zoomScaleNormal="90" workbookViewId="0">
      <pane ySplit="5" topLeftCell="A6" activePane="bottomLeft" state="frozen"/>
      <selection pane="bottomLeft" activeCell="A1" sqref="A1"/>
    </sheetView>
  </sheetViews>
  <sheetFormatPr baseColWidth="8" defaultRowHeight="15"/>
  <cols>
    <col width="8.7109375" customWidth="1" min="1" max="1"/>
    <col width="30.7109375" customWidth="1" min="2" max="2"/>
    <col width="10.7109375" customWidth="1" min="3" max="3"/>
    <col width="14.7109375" customWidth="1" min="4" max="4"/>
    <col width="48.7109375" customWidth="1" min="5" max="5"/>
  </cols>
  <sheetData>
    <row r="1">
      <c r="A1" s="1" t="inlineStr">
        <is>
          <t>QCRA COST TORNADO — COST DRIVERS ONLY</t>
        </is>
      </c>
    </row>
    <row r="5">
      <c r="A5" s="7" t="inlineStr">
        <is>
          <t>Rank</t>
        </is>
      </c>
      <c r="B5" s="7" t="inlineStr">
        <is>
          <t>Driver</t>
        </is>
      </c>
      <c r="C5" s="7" t="inlineStr">
        <is>
          <t>CBS</t>
        </is>
      </c>
      <c r="D5" s="7" t="inlineStr">
        <is>
          <t>Mean Cost $B</t>
        </is>
      </c>
      <c r="E5" s="7" t="inlineStr">
        <is>
          <t>Action</t>
        </is>
      </c>
    </row>
    <row r="6">
      <c r="A6" s="6" t="n">
        <v>1</v>
      </c>
      <c r="B6" s="6" t="inlineStr">
        <is>
          <t>Market escalation</t>
        </is>
      </c>
      <c r="C6" s="6" t="inlineStr">
        <is>
          <t>01.05</t>
        </is>
      </c>
      <c r="D6" s="8" t="n">
        <v>0.14</v>
      </c>
      <c r="E6" s="6" t="inlineStr">
        <is>
          <t>Early procurement, index-linked allowances, market testing, FX strategy</t>
        </is>
      </c>
    </row>
    <row r="7">
      <c r="A7" s="6" t="n">
        <v>2</v>
      </c>
      <c r="B7" s="6" t="inlineStr">
        <is>
          <t>Design maturity gap</t>
        </is>
      </c>
      <c r="C7" s="6" t="inlineStr">
        <is>
          <t>01.10</t>
        </is>
      </c>
      <c r="D7" s="8" t="n">
        <v>0.107</v>
      </c>
      <c r="E7" s="6" t="inlineStr">
        <is>
          <t>Design maturity gates, independent review, assumption register</t>
        </is>
      </c>
    </row>
    <row r="8">
      <c r="A8" s="6" t="n">
        <v>3</v>
      </c>
      <c r="B8" s="6" t="inlineStr">
        <is>
          <t>Scope growth</t>
        </is>
      </c>
      <c r="C8" s="6" t="inlineStr">
        <is>
          <t>01.04</t>
        </is>
      </c>
      <c r="D8" s="8" t="n">
        <v>0.105</v>
      </c>
      <c r="E8" s="6" t="inlineStr">
        <is>
          <t>Freeze scope baseline, change board, value gates, client decision log</t>
        </is>
      </c>
    </row>
    <row r="9">
      <c r="A9" s="6" t="n">
        <v>4</v>
      </c>
      <c r="B9" s="6" t="inlineStr">
        <is>
          <t>Productivity underperformance</t>
        </is>
      </c>
      <c r="C9" s="6" t="inlineStr">
        <is>
          <t>02.01</t>
        </is>
      </c>
      <c r="D9" s="8" t="n">
        <v>0.08699999999999999</v>
      </c>
      <c r="E9" s="6" t="inlineStr">
        <is>
          <t>Package productivity controls, daily planning, earned value cadence</t>
        </is>
      </c>
    </row>
    <row r="10">
      <c r="A10" s="6" t="n">
        <v>5</v>
      </c>
      <c r="B10" s="6" t="inlineStr">
        <is>
          <t>Supply chain delay</t>
        </is>
      </c>
      <c r="C10" s="6" t="inlineStr">
        <is>
          <t>01.11</t>
        </is>
      </c>
      <c r="D10" s="8" t="n">
        <v>0.08699999999999999</v>
      </c>
      <c r="E10" s="6" t="inlineStr">
        <is>
          <t>Alternate suppliers, early orders, expediting, framework options</t>
        </is>
      </c>
    </row>
    <row r="11">
      <c r="A11" s="6" t="n">
        <v>6</v>
      </c>
      <c r="B11" s="6" t="inlineStr">
        <is>
          <t>Interface misalignment</t>
        </is>
      </c>
      <c r="C11" s="6" t="inlineStr">
        <is>
          <t>02.03</t>
        </is>
      </c>
      <c r="D11" s="8" t="n">
        <v>0.074</v>
      </c>
      <c r="E11" s="6" t="inlineStr">
        <is>
          <t>Interface control documents, weekly interface board, accountable owners</t>
        </is>
      </c>
    </row>
    <row r="12">
      <c r="A12" s="6" t="n">
        <v>7</v>
      </c>
      <c r="B12" s="6" t="inlineStr">
        <is>
          <t>Commissioning delay</t>
        </is>
      </c>
      <c r="C12" s="6" t="inlineStr">
        <is>
          <t>02.02</t>
        </is>
      </c>
      <c r="D12" s="8" t="n">
        <v>0.06</v>
      </c>
      <c r="E12" s="6" t="inlineStr">
        <is>
          <t>Commissioning readiness plan, early test packs, digital systems integration</t>
        </is>
      </c>
    </row>
    <row r="13">
      <c r="A13" s="6" t="n">
        <v>8</v>
      </c>
      <c r="B13" s="6" t="inlineStr">
        <is>
          <t>Permits / approvals delay</t>
        </is>
      </c>
      <c r="C13" s="6" t="inlineStr">
        <is>
          <t>01.09</t>
        </is>
      </c>
      <c r="D13" s="8" t="n">
        <v>0.044</v>
      </c>
      <c r="E13" s="6" t="inlineStr">
        <is>
          <t>Authority plan, consent tracker, early submissions, stakeholder map</t>
        </is>
      </c>
    </row>
    <row r="14">
      <c r="A14" s="6" t="n">
        <v>9</v>
      </c>
      <c r="B14" s="6" t="inlineStr">
        <is>
          <t>Weather / environmental disruption</t>
        </is>
      </c>
      <c r="C14" s="6" t="inlineStr">
        <is>
          <t>01.03</t>
        </is>
      </c>
      <c r="D14" s="8" t="n">
        <v>0.026</v>
      </c>
      <c r="E14" s="6" t="inlineStr">
        <is>
          <t>Weather calendars, contingency workfronts, protection strategy</t>
        </is>
      </c>
    </row>
    <row r="15">
      <c r="A15" s="6" t="n">
        <v>10</v>
      </c>
      <c r="B15" s="6" t="inlineStr">
        <is>
          <t>Interface ownership gap</t>
        </is>
      </c>
      <c r="C15" s="6" t="inlineStr">
        <is>
          <t>01.08</t>
        </is>
      </c>
      <c r="D15" s="8" t="n">
        <v>0.021</v>
      </c>
      <c r="E15" s="6" t="inlineStr">
        <is>
          <t>Interface control documents and owner matrix</t>
        </is>
      </c>
    </row>
    <row r="16">
      <c r="A16" s="6" t="n">
        <v>11</v>
      </c>
      <c r="B16" s="6" t="inlineStr">
        <is>
          <t>Commercial claims escalation</t>
        </is>
      </c>
      <c r="C16" s="6" t="inlineStr">
        <is>
          <t>01.10</t>
        </is>
      </c>
      <c r="D16" s="8" t="n">
        <v>0.02</v>
      </c>
      <c r="E16" s="6" t="inlineStr">
        <is>
          <t>Tight change control, entitlement reviews, dispute avoidance board</t>
        </is>
      </c>
    </row>
    <row r="17">
      <c r="A17" s="6" t="n">
        <v>12</v>
      </c>
      <c r="B17" s="6" t="inlineStr">
        <is>
          <t>Cyber / controls integration</t>
        </is>
      </c>
      <c r="C17" s="6" t="inlineStr">
        <is>
          <t>01.02</t>
        </is>
      </c>
      <c r="D17" s="8" t="n">
        <v>0.018</v>
      </c>
      <c r="E17" s="6" t="inlineStr">
        <is>
          <t>Early cyber review, FAT/SAT plan, integration lab</t>
        </is>
      </c>
    </row>
  </sheetData>
  <mergeCells count="1">
    <mergeCell ref="A1:E1"/>
  </mergeCells>
  <pageMargins left="0.3" right="0.3" top="0.4" bottom="0.4" header="0.3" footer="0.3"/>
  <pageSetup orientation="landscape"/>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E17"/>
  <sheetViews>
    <sheetView showGridLines="0" zoomScale="90" zoomScaleNormal="90" workbookViewId="0">
      <pane ySplit="5" topLeftCell="A6" activePane="bottomLeft" state="frozen"/>
      <selection pane="bottomLeft" activeCell="A1" sqref="A1"/>
    </sheetView>
  </sheetViews>
  <sheetFormatPr baseColWidth="8" defaultRowHeight="15"/>
  <cols>
    <col width="8.7109375" customWidth="1" min="1" max="1"/>
    <col width="30.7109375" customWidth="1" min="2" max="2"/>
    <col width="12.7109375" customWidth="1" min="3" max="4"/>
    <col width="48.7109375" customWidth="1" min="5" max="5"/>
  </cols>
  <sheetData>
    <row r="1">
      <c r="A1" s="1" t="inlineStr">
        <is>
          <t>QSRA SCHEDULE TORNADO — SCHEDULE DRIVERS ONLY</t>
        </is>
      </c>
    </row>
    <row r="5">
      <c r="A5" s="7" t="inlineStr">
        <is>
          <t>Rank</t>
        </is>
      </c>
      <c r="B5" s="7" t="inlineStr">
        <is>
          <t>Driver</t>
        </is>
      </c>
      <c r="C5" s="7" t="inlineStr">
        <is>
          <t>Activity</t>
        </is>
      </c>
      <c r="D5" s="7" t="inlineStr">
        <is>
          <t>Mean Days</t>
        </is>
      </c>
      <c r="E5" s="7" t="inlineStr">
        <is>
          <t>Action</t>
        </is>
      </c>
    </row>
    <row r="6">
      <c r="A6" s="6" t="n">
        <v>1</v>
      </c>
      <c r="B6" s="6" t="inlineStr">
        <is>
          <t>Permits / approvals delay</t>
        </is>
      </c>
      <c r="C6" s="6" t="inlineStr">
        <is>
          <t>A1600</t>
        </is>
      </c>
      <c r="D6" s="9" t="n">
        <v>24.5</v>
      </c>
      <c r="E6" s="6" t="inlineStr">
        <is>
          <t>Authority plan, consent tracker, early submissions, stakeholder map</t>
        </is>
      </c>
    </row>
    <row r="7">
      <c r="A7" s="6" t="n">
        <v>2</v>
      </c>
      <c r="B7" s="6" t="inlineStr">
        <is>
          <t>Quality failure / rework</t>
        </is>
      </c>
      <c r="C7" s="6" t="inlineStr">
        <is>
          <t>A1700</t>
        </is>
      </c>
      <c r="D7" s="9" t="n">
        <v>19</v>
      </c>
      <c r="E7" s="6" t="inlineStr">
        <is>
          <t>ITPs, hold points, vendor QA, right-first-time reviews</t>
        </is>
      </c>
    </row>
    <row r="8">
      <c r="A8" s="6" t="n">
        <v>3</v>
      </c>
      <c r="B8" s="6" t="inlineStr">
        <is>
          <t>Scope growth</t>
        </is>
      </c>
      <c r="C8" s="6" t="inlineStr">
        <is>
          <t>A1400</t>
        </is>
      </c>
      <c r="D8" s="9" t="n">
        <v>18.9</v>
      </c>
      <c r="E8" s="6" t="inlineStr">
        <is>
          <t>Freeze scope baseline, change board, value gates, client decision log</t>
        </is>
      </c>
    </row>
    <row r="9">
      <c r="A9" s="6" t="n">
        <v>4</v>
      </c>
      <c r="B9" s="6" t="inlineStr">
        <is>
          <t>Productivity underperformance</t>
        </is>
      </c>
      <c r="C9" s="6" t="inlineStr">
        <is>
          <t>A1900</t>
        </is>
      </c>
      <c r="D9" s="9" t="n">
        <v>17.5</v>
      </c>
      <c r="E9" s="6" t="inlineStr">
        <is>
          <t>Package productivity controls, daily planning, earned value cadence</t>
        </is>
      </c>
    </row>
    <row r="10">
      <c r="A10" s="6" t="n">
        <v>5</v>
      </c>
      <c r="B10" s="6" t="inlineStr">
        <is>
          <t>Design maturity gap</t>
        </is>
      </c>
      <c r="C10" s="6" t="inlineStr">
        <is>
          <t>A1700</t>
        </is>
      </c>
      <c r="D10" s="9" t="n">
        <v>17.1</v>
      </c>
      <c r="E10" s="6" t="inlineStr">
        <is>
          <t>Design maturity gates, independent review, assumption register</t>
        </is>
      </c>
    </row>
    <row r="11">
      <c r="A11" s="6" t="n">
        <v>6</v>
      </c>
      <c r="B11" s="6" t="inlineStr">
        <is>
          <t>Data / estimate basis weakness</t>
        </is>
      </c>
      <c r="C11" s="6" t="inlineStr">
        <is>
          <t>A1500</t>
        </is>
      </c>
      <c r="D11" s="9" t="n">
        <v>17</v>
      </c>
      <c r="E11" s="6" t="inlineStr">
        <is>
          <t>Assumption register, benchmark evidence, quantity validation</t>
        </is>
      </c>
    </row>
    <row r="12">
      <c r="A12" s="6" t="n">
        <v>7</v>
      </c>
      <c r="B12" s="6" t="inlineStr">
        <is>
          <t>Supply chain delay</t>
        </is>
      </c>
      <c r="C12" s="6" t="inlineStr">
        <is>
          <t>A1800</t>
        </is>
      </c>
      <c r="D12" s="9" t="n">
        <v>16</v>
      </c>
      <c r="E12" s="6" t="inlineStr">
        <is>
          <t>Alternate suppliers, early orders, expediting, framework options</t>
        </is>
      </c>
    </row>
    <row r="13">
      <c r="A13" s="6" t="n">
        <v>8</v>
      </c>
      <c r="B13" s="6" t="inlineStr">
        <is>
          <t>Resource availability</t>
        </is>
      </c>
      <c r="C13" s="6" t="inlineStr">
        <is>
          <t>A1600</t>
        </is>
      </c>
      <c r="D13" s="9" t="n">
        <v>14.9</v>
      </c>
      <c r="E13" s="6" t="inlineStr">
        <is>
          <t>Resource loading, framework call-offs, labour strategy</t>
        </is>
      </c>
    </row>
    <row r="14">
      <c r="A14" s="6" t="n">
        <v>9</v>
      </c>
      <c r="B14" s="6" t="inlineStr">
        <is>
          <t>Commissioning readiness gap</t>
        </is>
      </c>
      <c r="C14" s="6" t="inlineStr">
        <is>
          <t>A1400</t>
        </is>
      </c>
      <c r="D14" s="9" t="n">
        <v>13.2</v>
      </c>
      <c r="E14" s="6" t="inlineStr">
        <is>
          <t>Readiness dashboard, integrated test plan, early ORAT</t>
        </is>
      </c>
    </row>
    <row r="15">
      <c r="A15" s="6" t="n">
        <v>10</v>
      </c>
      <c r="B15" s="6" t="inlineStr">
        <is>
          <t>Interface misalignment</t>
        </is>
      </c>
      <c r="C15" s="6" t="inlineStr">
        <is>
          <t>A2100</t>
        </is>
      </c>
      <c r="D15" s="9" t="n">
        <v>11.9</v>
      </c>
      <c r="E15" s="6" t="inlineStr">
        <is>
          <t>Interface control documents, weekly interface board, accountable owners</t>
        </is>
      </c>
    </row>
    <row r="16">
      <c r="A16" s="6" t="n">
        <v>11</v>
      </c>
      <c r="B16" s="6" t="inlineStr">
        <is>
          <t>Weather / environmental disruption</t>
        </is>
      </c>
      <c r="C16" s="6" t="inlineStr">
        <is>
          <t>A1900</t>
        </is>
      </c>
      <c r="D16" s="9" t="n">
        <v>11.9</v>
      </c>
      <c r="E16" s="6" t="inlineStr">
        <is>
          <t>Weather calendars, contingency workfronts, protection strategy</t>
        </is>
      </c>
    </row>
    <row r="17">
      <c r="A17" s="6" t="n">
        <v>12</v>
      </c>
      <c r="B17" s="6" t="inlineStr">
        <is>
          <t>Commercial claims escalation</t>
        </is>
      </c>
      <c r="C17" s="6" t="inlineStr">
        <is>
          <t>A1500</t>
        </is>
      </c>
      <c r="D17" s="9" t="n">
        <v>11.4</v>
      </c>
      <c r="E17" s="6" t="inlineStr">
        <is>
          <t>Tight change control, entitlement reviews, dispute avoidance board</t>
        </is>
      </c>
    </row>
  </sheetData>
  <mergeCells count="1">
    <mergeCell ref="A1:E1"/>
  </mergeCells>
  <pageMargins left="0.3" right="0.3" top="0.4" bottom="0.4" header="0.3" footer="0.3"/>
  <pageSetup orientation="landscape"/>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H84"/>
  <sheetViews>
    <sheetView showGridLines="0" zoomScale="90" zoomScaleNormal="90" workbookViewId="0">
      <pane ySplit="5" topLeftCell="A6" activePane="bottomLeft" state="frozen"/>
      <selection pane="bottomLeft" activeCell="A1" sqref="A1"/>
    </sheetView>
  </sheetViews>
  <sheetFormatPr baseColWidth="8" defaultRowHeight="15"/>
  <cols>
    <col width="8.7109375" customWidth="1" min="1" max="1"/>
    <col width="13.7109375" customWidth="1" min="2" max="2"/>
    <col width="16.7109375" customWidth="1" min="3" max="3"/>
    <col width="36.7109375" customWidth="1" min="4" max="4"/>
    <col width="18.7109375" customWidth="1" min="5" max="5"/>
    <col width="14.7109375" customWidth="1" min="6" max="6"/>
    <col width="10.7109375" customWidth="1" min="7" max="7"/>
    <col width="48.7109375" customWidth="1" min="8" max="8"/>
  </cols>
  <sheetData>
    <row r="1">
      <c r="A1" s="1" t="inlineStr">
        <is>
          <t>SCHEDULE LEVELS 1–5 — ALL LEVELS GENERATED</t>
        </is>
      </c>
    </row>
    <row r="5">
      <c r="A5" s="7" t="inlineStr">
        <is>
          <t>Level</t>
        </is>
      </c>
      <c r="B5" s="7" t="inlineStr">
        <is>
          <t>Activity ID</t>
        </is>
      </c>
      <c r="C5" s="7" t="inlineStr">
        <is>
          <t>Phase</t>
        </is>
      </c>
      <c r="D5" s="7" t="inlineStr">
        <is>
          <t>Activity</t>
        </is>
      </c>
      <c r="E5" s="7" t="inlineStr">
        <is>
          <t>Predecessor</t>
        </is>
      </c>
      <c r="F5" s="7" t="inlineStr">
        <is>
          <t>Duration Months</t>
        </is>
      </c>
      <c r="G5" s="7" t="inlineStr">
        <is>
          <t>Critical</t>
        </is>
      </c>
      <c r="H5" s="7" t="inlineStr">
        <is>
          <t>Basis</t>
        </is>
      </c>
    </row>
    <row r="6">
      <c r="A6" s="6" t="inlineStr">
        <is>
          <t>1</t>
        </is>
      </c>
      <c r="B6" s="6" t="inlineStr">
        <is>
          <t>M100</t>
        </is>
      </c>
      <c r="C6" s="6" t="inlineStr">
        <is>
          <t>Milestone</t>
        </is>
      </c>
      <c r="D6" s="6" t="inlineStr">
        <is>
          <t>Investment approval</t>
        </is>
      </c>
      <c r="E6" s="6" t="n"/>
      <c r="F6" s="9" t="n">
        <v>3</v>
      </c>
      <c r="G6" s="6" t="inlineStr">
        <is>
          <t>No</t>
        </is>
      </c>
      <c r="H6" s="6" t="inlineStr">
        <is>
          <t>Duration derived from sector schedule model, selected schedule level and scenario compression/buffer logic.</t>
        </is>
      </c>
    </row>
    <row r="7">
      <c r="A7" s="6" t="inlineStr">
        <is>
          <t>1</t>
        </is>
      </c>
      <c r="B7" s="6" t="inlineStr">
        <is>
          <t>M200</t>
        </is>
      </c>
      <c r="C7" s="6" t="inlineStr">
        <is>
          <t>Milestone</t>
        </is>
      </c>
      <c r="D7" s="6" t="inlineStr">
        <is>
          <t>Design complete</t>
        </is>
      </c>
      <c r="E7" s="6" t="inlineStr">
        <is>
          <t>M100</t>
        </is>
      </c>
      <c r="F7" s="9" t="n">
        <v>11</v>
      </c>
      <c r="G7" s="6" t="inlineStr">
        <is>
          <t>No</t>
        </is>
      </c>
      <c r="H7" s="6" t="inlineStr">
        <is>
          <t>Duration derived from sector schedule model, selected schedule level and scenario compression/buffer logic.</t>
        </is>
      </c>
    </row>
    <row r="8">
      <c r="A8" s="6" t="inlineStr">
        <is>
          <t>1</t>
        </is>
      </c>
      <c r="B8" s="6" t="inlineStr">
        <is>
          <t>M300</t>
        </is>
      </c>
      <c r="C8" s="6" t="inlineStr">
        <is>
          <t>Milestone</t>
        </is>
      </c>
      <c r="D8" s="6" t="inlineStr">
        <is>
          <t>Procurement complete</t>
        </is>
      </c>
      <c r="E8" s="6" t="inlineStr">
        <is>
          <t>M200</t>
        </is>
      </c>
      <c r="F8" s="9" t="n">
        <v>9</v>
      </c>
      <c r="G8" s="6" t="inlineStr">
        <is>
          <t>No</t>
        </is>
      </c>
      <c r="H8" s="6" t="inlineStr">
        <is>
          <t>Duration derived from sector schedule model, selected schedule level and scenario compression/buffer logic.</t>
        </is>
      </c>
    </row>
    <row r="9">
      <c r="A9" s="6" t="inlineStr">
        <is>
          <t>1</t>
        </is>
      </c>
      <c r="B9" s="6" t="inlineStr">
        <is>
          <t>M400</t>
        </is>
      </c>
      <c r="C9" s="6" t="inlineStr">
        <is>
          <t>Milestone</t>
        </is>
      </c>
      <c r="D9" s="6" t="inlineStr">
        <is>
          <t>Delivery complete</t>
        </is>
      </c>
      <c r="E9" s="6" t="inlineStr">
        <is>
          <t>M300</t>
        </is>
      </c>
      <c r="F9" s="9" t="n">
        <v>23</v>
      </c>
      <c r="G9" s="6" t="inlineStr">
        <is>
          <t>No</t>
        </is>
      </c>
      <c r="H9" s="6" t="inlineStr">
        <is>
          <t>Duration derived from sector schedule model, selected schedule level and scenario compression/buffer logic.</t>
        </is>
      </c>
    </row>
    <row r="10">
      <c r="A10" s="6" t="inlineStr">
        <is>
          <t>1</t>
        </is>
      </c>
      <c r="B10" s="6" t="inlineStr">
        <is>
          <t>M500</t>
        </is>
      </c>
      <c r="C10" s="6" t="inlineStr">
        <is>
          <t>Milestone</t>
        </is>
      </c>
      <c r="D10" s="6" t="inlineStr">
        <is>
          <t>Ready for operations</t>
        </is>
      </c>
      <c r="E10" s="6" t="inlineStr">
        <is>
          <t>M400</t>
        </is>
      </c>
      <c r="F10" s="9" t="n">
        <v>9</v>
      </c>
      <c r="G10" s="6" t="inlineStr">
        <is>
          <t>No</t>
        </is>
      </c>
      <c r="H10" s="6" t="inlineStr">
        <is>
          <t>Duration derived from sector schedule model, selected schedule level and scenario compression/buffer logic.</t>
        </is>
      </c>
    </row>
    <row r="11">
      <c r="A11" s="6" t="inlineStr">
        <is>
          <t>1</t>
        </is>
      </c>
      <c r="B11" s="6" t="inlineStr">
        <is>
          <t>M600</t>
        </is>
      </c>
      <c r="C11" s="6" t="inlineStr">
        <is>
          <t>Milestone</t>
        </is>
      </c>
      <c r="D11" s="6" t="inlineStr">
        <is>
          <t>Handover</t>
        </is>
      </c>
      <c r="E11" s="6" t="inlineStr">
        <is>
          <t>M500</t>
        </is>
      </c>
      <c r="F11" s="9" t="n">
        <v>3</v>
      </c>
      <c r="G11" s="6" t="inlineStr">
        <is>
          <t>No</t>
        </is>
      </c>
      <c r="H11" s="6" t="inlineStr">
        <is>
          <t>Duration derived from sector schedule model, selected schedule level and scenario compression/buffer logic.</t>
        </is>
      </c>
    </row>
    <row r="12">
      <c r="A12" s="6" t="inlineStr">
        <is>
          <t>2</t>
        </is>
      </c>
      <c r="B12" s="6" t="inlineStr">
        <is>
          <t>A1000</t>
        </is>
      </c>
      <c r="C12" s="6" t="inlineStr">
        <is>
          <t>Governance</t>
        </is>
      </c>
      <c r="D12" s="6" t="inlineStr">
        <is>
          <t>Project initiation / controls setup</t>
        </is>
      </c>
      <c r="E12" s="6" t="n"/>
      <c r="F12" s="9" t="n">
        <v>2</v>
      </c>
      <c r="G12" s="6" t="inlineStr">
        <is>
          <t>No</t>
        </is>
      </c>
      <c r="H12" s="6" t="inlineStr">
        <is>
          <t>Duration derived from sector schedule model, selected schedule level and scenario compression/buffer logic.</t>
        </is>
      </c>
    </row>
    <row r="13">
      <c r="A13" s="6" t="inlineStr">
        <is>
          <t>2</t>
        </is>
      </c>
      <c r="B13" s="6" t="inlineStr">
        <is>
          <t>A1100</t>
        </is>
      </c>
      <c r="C13" s="6" t="inlineStr">
        <is>
          <t>Business Case</t>
        </is>
      </c>
      <c r="D13" s="6" t="inlineStr">
        <is>
          <t>Strategic brief, funding and approval</t>
        </is>
      </c>
      <c r="E13" s="6" t="inlineStr">
        <is>
          <t>A1000</t>
        </is>
      </c>
      <c r="F13" s="9" t="n">
        <v>3</v>
      </c>
      <c r="G13" s="6" t="inlineStr">
        <is>
          <t>No</t>
        </is>
      </c>
      <c r="H13" s="6" t="inlineStr">
        <is>
          <t>Duration derived from sector schedule model, selected schedule level and scenario compression/buffer logic.</t>
        </is>
      </c>
    </row>
    <row r="14">
      <c r="A14" s="6" t="inlineStr">
        <is>
          <t>2</t>
        </is>
      </c>
      <c r="B14" s="6" t="inlineStr">
        <is>
          <t>A1200</t>
        </is>
      </c>
      <c r="C14" s="6" t="inlineStr">
        <is>
          <t>Scope</t>
        </is>
      </c>
      <c r="D14" s="6" t="inlineStr">
        <is>
          <t>Requirements definition and scope freeze</t>
        </is>
      </c>
      <c r="E14" s="6" t="inlineStr">
        <is>
          <t>A1100</t>
        </is>
      </c>
      <c r="F14" s="9" t="n">
        <v>3</v>
      </c>
      <c r="G14" s="6" t="inlineStr">
        <is>
          <t>No</t>
        </is>
      </c>
      <c r="H14" s="6" t="inlineStr">
        <is>
          <t>Duration derived from sector schedule model, selected schedule level and scenario compression/buffer logic.</t>
        </is>
      </c>
    </row>
    <row r="15">
      <c r="A15" s="6" t="inlineStr">
        <is>
          <t>2</t>
        </is>
      </c>
      <c r="B15" s="6" t="inlineStr">
        <is>
          <t>A1300</t>
        </is>
      </c>
      <c r="C15" s="6" t="inlineStr">
        <is>
          <t>Design</t>
        </is>
      </c>
      <c r="D15" s="6" t="inlineStr">
        <is>
          <t>Concept / reference architecture</t>
        </is>
      </c>
      <c r="E15" s="6" t="inlineStr">
        <is>
          <t>A1200</t>
        </is>
      </c>
      <c r="F15" s="9" t="n">
        <v>5</v>
      </c>
      <c r="G15" s="6" t="inlineStr">
        <is>
          <t>No</t>
        </is>
      </c>
      <c r="H15" s="6" t="inlineStr">
        <is>
          <t>Duration derived from sector schedule model, selected schedule level and scenario compression/buffer logic.</t>
        </is>
      </c>
    </row>
    <row r="16">
      <c r="A16" s="6" t="inlineStr">
        <is>
          <t>2</t>
        </is>
      </c>
      <c r="B16" s="6" t="inlineStr">
        <is>
          <t>A1400</t>
        </is>
      </c>
      <c r="C16" s="6" t="inlineStr">
        <is>
          <t>Consents</t>
        </is>
      </c>
      <c r="D16" s="6" t="inlineStr">
        <is>
          <t>Planning, regulatory and stakeholder approvals</t>
        </is>
      </c>
      <c r="E16" s="6" t="inlineStr">
        <is>
          <t>A1200</t>
        </is>
      </c>
      <c r="F16" s="9" t="n">
        <v>5</v>
      </c>
      <c r="G16" s="6" t="inlineStr">
        <is>
          <t>Yes</t>
        </is>
      </c>
      <c r="H16" s="6" t="inlineStr">
        <is>
          <t>Duration derived from sector schedule model, selected schedule level and scenario compression/buffer logic.</t>
        </is>
      </c>
    </row>
    <row r="17">
      <c r="A17" s="6" t="inlineStr">
        <is>
          <t>2</t>
        </is>
      </c>
      <c r="B17" s="6" t="inlineStr">
        <is>
          <t>A1500</t>
        </is>
      </c>
      <c r="C17" s="6" t="inlineStr">
        <is>
          <t>Procurement</t>
        </is>
      </c>
      <c r="D17" s="6" t="inlineStr">
        <is>
          <t>Procurement strategy and tender packaging</t>
        </is>
      </c>
      <c r="E17" s="6" t="inlineStr">
        <is>
          <t>A1300</t>
        </is>
      </c>
      <c r="F17" s="9" t="n">
        <v>3</v>
      </c>
      <c r="G17" s="6" t="inlineStr">
        <is>
          <t>No</t>
        </is>
      </c>
      <c r="H17" s="6" t="inlineStr">
        <is>
          <t>Duration derived from sector schedule model, selected schedule level and scenario compression/buffer logic.</t>
        </is>
      </c>
    </row>
    <row r="18">
      <c r="A18" s="6" t="inlineStr">
        <is>
          <t>2</t>
        </is>
      </c>
      <c r="B18" s="6" t="inlineStr">
        <is>
          <t>A1600</t>
        </is>
      </c>
      <c r="C18" s="6" t="inlineStr">
        <is>
          <t>Design</t>
        </is>
      </c>
      <c r="D18" s="6" t="inlineStr">
        <is>
          <t>Detailed design / IFC development</t>
        </is>
      </c>
      <c r="E18" s="6" t="inlineStr">
        <is>
          <t>A1300</t>
        </is>
      </c>
      <c r="F18" s="9" t="n">
        <v>6</v>
      </c>
      <c r="G18" s="6" t="inlineStr">
        <is>
          <t>No</t>
        </is>
      </c>
      <c r="H18" s="6" t="inlineStr">
        <is>
          <t>Duration derived from sector schedule model, selected schedule level and scenario compression/buffer logic.</t>
        </is>
      </c>
    </row>
    <row r="19">
      <c r="A19" s="6" t="inlineStr">
        <is>
          <t>2</t>
        </is>
      </c>
      <c r="B19" s="6" t="inlineStr">
        <is>
          <t>A1700</t>
        </is>
      </c>
      <c r="C19" s="6" t="inlineStr">
        <is>
          <t>Procurement</t>
        </is>
      </c>
      <c r="D19" s="6" t="inlineStr">
        <is>
          <t>Long-lead procurement</t>
        </is>
      </c>
      <c r="E19" s="6" t="inlineStr">
        <is>
          <t>A1500</t>
        </is>
      </c>
      <c r="F19" s="9" t="n">
        <v>5</v>
      </c>
      <c r="G19" s="6" t="inlineStr">
        <is>
          <t>Yes</t>
        </is>
      </c>
      <c r="H19" s="6" t="inlineStr">
        <is>
          <t>Duration derived from sector schedule model, selected schedule level and scenario compression/buffer logic.</t>
        </is>
      </c>
    </row>
    <row r="20">
      <c r="A20" s="6" t="inlineStr">
        <is>
          <t>2</t>
        </is>
      </c>
      <c r="B20" s="6" t="inlineStr">
        <is>
          <t>A1800</t>
        </is>
      </c>
      <c r="C20" s="6" t="inlineStr">
        <is>
          <t>Enabling</t>
        </is>
      </c>
      <c r="D20" s="6" t="inlineStr">
        <is>
          <t>Site / launch integration readiness</t>
        </is>
      </c>
      <c r="E20" s="6" t="inlineStr">
        <is>
          <t>A1400;A1500</t>
        </is>
      </c>
      <c r="F20" s="9" t="n">
        <v>4</v>
      </c>
      <c r="G20" s="6" t="inlineStr">
        <is>
          <t>No</t>
        </is>
      </c>
      <c r="H20" s="6" t="inlineStr">
        <is>
          <t>Duration derived from sector schedule model, selected schedule level and scenario compression/buffer logic.</t>
        </is>
      </c>
    </row>
    <row r="21">
      <c r="A21" s="6" t="inlineStr">
        <is>
          <t>2</t>
        </is>
      </c>
      <c r="B21" s="6" t="inlineStr">
        <is>
          <t>A1900</t>
        </is>
      </c>
      <c r="C21" s="6" t="inlineStr">
        <is>
          <t>Delivery</t>
        </is>
      </c>
      <c r="D21" s="6" t="inlineStr">
        <is>
          <t>Main construction / fabrication / assembly</t>
        </is>
      </c>
      <c r="E21" s="6" t="inlineStr">
        <is>
          <t>A1600;A1700;A1800</t>
        </is>
      </c>
      <c r="F21" s="9" t="n">
        <v>13</v>
      </c>
      <c r="G21" s="6" t="inlineStr">
        <is>
          <t>Yes</t>
        </is>
      </c>
      <c r="H21" s="6" t="inlineStr">
        <is>
          <t>Duration derived from sector schedule model, selected schedule level and scenario compression/buffer logic.</t>
        </is>
      </c>
    </row>
    <row r="22">
      <c r="A22" s="6" t="inlineStr">
        <is>
          <t>2</t>
        </is>
      </c>
      <c r="B22" s="6" t="inlineStr">
        <is>
          <t>A2000</t>
        </is>
      </c>
      <c r="C22" s="6" t="inlineStr">
        <is>
          <t>Integration</t>
        </is>
      </c>
      <c r="D22" s="6" t="inlineStr">
        <is>
          <t>Systems integration and testing</t>
        </is>
      </c>
      <c r="E22" s="6" t="inlineStr">
        <is>
          <t>A1900</t>
        </is>
      </c>
      <c r="F22" s="9" t="n">
        <v>6</v>
      </c>
      <c r="G22" s="6" t="inlineStr">
        <is>
          <t>Yes</t>
        </is>
      </c>
      <c r="H22" s="6" t="inlineStr">
        <is>
          <t>Duration derived from sector schedule model, selected schedule level and scenario compression/buffer logic.</t>
        </is>
      </c>
    </row>
    <row r="23">
      <c r="A23" s="6" t="inlineStr">
        <is>
          <t>2</t>
        </is>
      </c>
      <c r="B23" s="6" t="inlineStr">
        <is>
          <t>A2100</t>
        </is>
      </c>
      <c r="C23" s="6" t="inlineStr">
        <is>
          <t>Handover</t>
        </is>
      </c>
      <c r="D23" s="6" t="inlineStr">
        <is>
          <t>Commissioning, operations readiness and closeout</t>
        </is>
      </c>
      <c r="E23" s="6" t="inlineStr">
        <is>
          <t>A2000</t>
        </is>
      </c>
      <c r="F23" s="9" t="n">
        <v>3</v>
      </c>
      <c r="G23" s="6" t="inlineStr">
        <is>
          <t>Yes</t>
        </is>
      </c>
      <c r="H23" s="6" t="inlineStr">
        <is>
          <t>Duration derived from sector schedule model, selected schedule level and scenario compression/buffer logic.</t>
        </is>
      </c>
    </row>
    <row r="24">
      <c r="A24" s="6" t="inlineStr">
        <is>
          <t>3</t>
        </is>
      </c>
      <c r="B24" s="6" t="inlineStr">
        <is>
          <t>A1000</t>
        </is>
      </c>
      <c r="C24" s="6" t="inlineStr">
        <is>
          <t>Governance</t>
        </is>
      </c>
      <c r="D24" s="6" t="inlineStr">
        <is>
          <t>Project initiation / controls setup</t>
        </is>
      </c>
      <c r="E24" s="6" t="n"/>
      <c r="F24" s="9" t="n">
        <v>2</v>
      </c>
      <c r="G24" s="6" t="inlineStr">
        <is>
          <t>No</t>
        </is>
      </c>
      <c r="H24" s="6" t="inlineStr">
        <is>
          <t>Duration derived from sector schedule model, selected schedule level and scenario compression/buffer logic.</t>
        </is>
      </c>
    </row>
    <row r="25">
      <c r="A25" s="6" t="inlineStr">
        <is>
          <t>3</t>
        </is>
      </c>
      <c r="B25" s="6" t="inlineStr">
        <is>
          <t>A1100</t>
        </is>
      </c>
      <c r="C25" s="6" t="inlineStr">
        <is>
          <t>Business Case</t>
        </is>
      </c>
      <c r="D25" s="6" t="inlineStr">
        <is>
          <t>Strategic brief, funding and approval</t>
        </is>
      </c>
      <c r="E25" s="6" t="inlineStr">
        <is>
          <t>A1000</t>
        </is>
      </c>
      <c r="F25" s="9" t="n">
        <v>3</v>
      </c>
      <c r="G25" s="6" t="inlineStr">
        <is>
          <t>No</t>
        </is>
      </c>
      <c r="H25" s="6" t="inlineStr">
        <is>
          <t>Duration derived from sector schedule model, selected schedule level and scenario compression/buffer logic.</t>
        </is>
      </c>
    </row>
    <row r="26">
      <c r="A26" s="6" t="inlineStr">
        <is>
          <t>3</t>
        </is>
      </c>
      <c r="B26" s="6" t="inlineStr">
        <is>
          <t>A1200</t>
        </is>
      </c>
      <c r="C26" s="6" t="inlineStr">
        <is>
          <t>Scope</t>
        </is>
      </c>
      <c r="D26" s="6" t="inlineStr">
        <is>
          <t>Requirements definition and scope freeze</t>
        </is>
      </c>
      <c r="E26" s="6" t="inlineStr">
        <is>
          <t>A1100</t>
        </is>
      </c>
      <c r="F26" s="9" t="n">
        <v>3</v>
      </c>
      <c r="G26" s="6" t="inlineStr">
        <is>
          <t>No</t>
        </is>
      </c>
      <c r="H26" s="6" t="inlineStr">
        <is>
          <t>Duration derived from sector schedule model, selected schedule level and scenario compression/buffer logic.</t>
        </is>
      </c>
    </row>
    <row r="27">
      <c r="A27" s="6" t="inlineStr">
        <is>
          <t>3</t>
        </is>
      </c>
      <c r="B27" s="6" t="inlineStr">
        <is>
          <t>A1300</t>
        </is>
      </c>
      <c r="C27" s="6" t="inlineStr">
        <is>
          <t>Design</t>
        </is>
      </c>
      <c r="D27" s="6" t="inlineStr">
        <is>
          <t>Concept / reference architecture</t>
        </is>
      </c>
      <c r="E27" s="6" t="inlineStr">
        <is>
          <t>A1200</t>
        </is>
      </c>
      <c r="F27" s="9" t="n">
        <v>5</v>
      </c>
      <c r="G27" s="6" t="inlineStr">
        <is>
          <t>No</t>
        </is>
      </c>
      <c r="H27" s="6" t="inlineStr">
        <is>
          <t>Duration derived from sector schedule model, selected schedule level and scenario compression/buffer logic.</t>
        </is>
      </c>
    </row>
    <row r="28">
      <c r="A28" s="6" t="inlineStr">
        <is>
          <t>3</t>
        </is>
      </c>
      <c r="B28" s="6" t="inlineStr">
        <is>
          <t>A1400</t>
        </is>
      </c>
      <c r="C28" s="6" t="inlineStr">
        <is>
          <t>Consents</t>
        </is>
      </c>
      <c r="D28" s="6" t="inlineStr">
        <is>
          <t>Planning, regulatory and stakeholder approvals</t>
        </is>
      </c>
      <c r="E28" s="6" t="inlineStr">
        <is>
          <t>A1200</t>
        </is>
      </c>
      <c r="F28" s="9" t="n">
        <v>5</v>
      </c>
      <c r="G28" s="6" t="inlineStr">
        <is>
          <t>Yes</t>
        </is>
      </c>
      <c r="H28" s="6" t="inlineStr">
        <is>
          <t>Duration derived from sector schedule model, selected schedule level and scenario compression/buffer logic.</t>
        </is>
      </c>
    </row>
    <row r="29">
      <c r="A29" s="6" t="inlineStr">
        <is>
          <t>3</t>
        </is>
      </c>
      <c r="B29" s="6" t="inlineStr">
        <is>
          <t>A1500</t>
        </is>
      </c>
      <c r="C29" s="6" t="inlineStr">
        <is>
          <t>Procurement</t>
        </is>
      </c>
      <c r="D29" s="6" t="inlineStr">
        <is>
          <t>Procurement strategy and tender packaging</t>
        </is>
      </c>
      <c r="E29" s="6" t="inlineStr">
        <is>
          <t>A1300</t>
        </is>
      </c>
      <c r="F29" s="9" t="n">
        <v>3</v>
      </c>
      <c r="G29" s="6" t="inlineStr">
        <is>
          <t>No</t>
        </is>
      </c>
      <c r="H29" s="6" t="inlineStr">
        <is>
          <t>Duration derived from sector schedule model, selected schedule level and scenario compression/buffer logic.</t>
        </is>
      </c>
    </row>
    <row r="30">
      <c r="A30" s="6" t="inlineStr">
        <is>
          <t>3</t>
        </is>
      </c>
      <c r="B30" s="6" t="inlineStr">
        <is>
          <t>A1600</t>
        </is>
      </c>
      <c r="C30" s="6" t="inlineStr">
        <is>
          <t>Design</t>
        </is>
      </c>
      <c r="D30" s="6" t="inlineStr">
        <is>
          <t>Detailed design / IFC development</t>
        </is>
      </c>
      <c r="E30" s="6" t="inlineStr">
        <is>
          <t>A1300</t>
        </is>
      </c>
      <c r="F30" s="9" t="n">
        <v>6</v>
      </c>
      <c r="G30" s="6" t="inlineStr">
        <is>
          <t>No</t>
        </is>
      </c>
      <c r="H30" s="6" t="inlineStr">
        <is>
          <t>Duration derived from sector schedule model, selected schedule level and scenario compression/buffer logic.</t>
        </is>
      </c>
    </row>
    <row r="31">
      <c r="A31" s="6" t="inlineStr">
        <is>
          <t>3</t>
        </is>
      </c>
      <c r="B31" s="6" t="inlineStr">
        <is>
          <t>A1700</t>
        </is>
      </c>
      <c r="C31" s="6" t="inlineStr">
        <is>
          <t>Procurement</t>
        </is>
      </c>
      <c r="D31" s="6" t="inlineStr">
        <is>
          <t>Long-lead procurement</t>
        </is>
      </c>
      <c r="E31" s="6" t="inlineStr">
        <is>
          <t>A1500</t>
        </is>
      </c>
      <c r="F31" s="9" t="n">
        <v>5</v>
      </c>
      <c r="G31" s="6" t="inlineStr">
        <is>
          <t>Yes</t>
        </is>
      </c>
      <c r="H31" s="6" t="inlineStr">
        <is>
          <t>Duration derived from sector schedule model, selected schedule level and scenario compression/buffer logic.</t>
        </is>
      </c>
    </row>
    <row r="32">
      <c r="A32" s="6" t="inlineStr">
        <is>
          <t>3</t>
        </is>
      </c>
      <c r="B32" s="6" t="inlineStr">
        <is>
          <t>A1800</t>
        </is>
      </c>
      <c r="C32" s="6" t="inlineStr">
        <is>
          <t>Enabling</t>
        </is>
      </c>
      <c r="D32" s="6" t="inlineStr">
        <is>
          <t>Site / launch integration readiness</t>
        </is>
      </c>
      <c r="E32" s="6" t="inlineStr">
        <is>
          <t>A1400;A1500</t>
        </is>
      </c>
      <c r="F32" s="9" t="n">
        <v>4</v>
      </c>
      <c r="G32" s="6" t="inlineStr">
        <is>
          <t>No</t>
        </is>
      </c>
      <c r="H32" s="6" t="inlineStr">
        <is>
          <t>Duration derived from sector schedule model, selected schedule level and scenario compression/buffer logic.</t>
        </is>
      </c>
    </row>
    <row r="33">
      <c r="A33" s="6" t="inlineStr">
        <is>
          <t>3</t>
        </is>
      </c>
      <c r="B33" s="6" t="inlineStr">
        <is>
          <t>A1900</t>
        </is>
      </c>
      <c r="C33" s="6" t="inlineStr">
        <is>
          <t>Delivery</t>
        </is>
      </c>
      <c r="D33" s="6" t="inlineStr">
        <is>
          <t>Main construction / fabrication / assembly</t>
        </is>
      </c>
      <c r="E33" s="6" t="inlineStr">
        <is>
          <t>A1600;A1700;A1800</t>
        </is>
      </c>
      <c r="F33" s="9" t="n">
        <v>13</v>
      </c>
      <c r="G33" s="6" t="inlineStr">
        <is>
          <t>Yes</t>
        </is>
      </c>
      <c r="H33" s="6" t="inlineStr">
        <is>
          <t>Duration derived from sector schedule model, selected schedule level and scenario compression/buffer logic.</t>
        </is>
      </c>
    </row>
    <row r="34">
      <c r="A34" s="6" t="inlineStr">
        <is>
          <t>3</t>
        </is>
      </c>
      <c r="B34" s="6" t="inlineStr">
        <is>
          <t>A2000</t>
        </is>
      </c>
      <c r="C34" s="6" t="inlineStr">
        <is>
          <t>Integration</t>
        </is>
      </c>
      <c r="D34" s="6" t="inlineStr">
        <is>
          <t>Systems integration and testing</t>
        </is>
      </c>
      <c r="E34" s="6" t="inlineStr">
        <is>
          <t>A1900</t>
        </is>
      </c>
      <c r="F34" s="9" t="n">
        <v>6</v>
      </c>
      <c r="G34" s="6" t="inlineStr">
        <is>
          <t>Yes</t>
        </is>
      </c>
      <c r="H34" s="6" t="inlineStr">
        <is>
          <t>Duration derived from sector schedule model, selected schedule level and scenario compression/buffer logic.</t>
        </is>
      </c>
    </row>
    <row r="35">
      <c r="A35" s="6" t="inlineStr">
        <is>
          <t>3</t>
        </is>
      </c>
      <c r="B35" s="6" t="inlineStr">
        <is>
          <t>A2100</t>
        </is>
      </c>
      <c r="C35" s="6" t="inlineStr">
        <is>
          <t>Handover</t>
        </is>
      </c>
      <c r="D35" s="6" t="inlineStr">
        <is>
          <t>Commissioning, operations readiness and closeout</t>
        </is>
      </c>
      <c r="E35" s="6" t="inlineStr">
        <is>
          <t>A2000</t>
        </is>
      </c>
      <c r="F35" s="9" t="n">
        <v>3</v>
      </c>
      <c r="G35" s="6" t="inlineStr">
        <is>
          <t>Yes</t>
        </is>
      </c>
      <c r="H35" s="6" t="inlineStr">
        <is>
          <t>Duration derived from sector schedule model, selected schedule level and scenario compression/buffer logic.</t>
        </is>
      </c>
    </row>
    <row r="36">
      <c r="A36" s="6" t="inlineStr">
        <is>
          <t>4</t>
        </is>
      </c>
      <c r="B36" s="6" t="inlineStr">
        <is>
          <t>A1000</t>
        </is>
      </c>
      <c r="C36" s="6" t="inlineStr">
        <is>
          <t>Governance</t>
        </is>
      </c>
      <c r="D36" s="6" t="inlineStr">
        <is>
          <t>Project initiation / controls setup</t>
        </is>
      </c>
      <c r="E36" s="6" t="n"/>
      <c r="F36" s="9" t="n">
        <v>2</v>
      </c>
      <c r="G36" s="6" t="inlineStr">
        <is>
          <t>No</t>
        </is>
      </c>
      <c r="H36" s="6" t="inlineStr">
        <is>
          <t>Duration derived from sector schedule model, duration reflects design maturity, procurement evidence, interface control, commissioning and operational readiness..</t>
        </is>
      </c>
    </row>
    <row r="37">
      <c r="A37" s="6" t="inlineStr">
        <is>
          <t>4</t>
        </is>
      </c>
      <c r="B37" s="6" t="inlineStr">
        <is>
          <t>A1100</t>
        </is>
      </c>
      <c r="C37" s="6" t="inlineStr">
        <is>
          <t>Business Case</t>
        </is>
      </c>
      <c r="D37" s="6" t="inlineStr">
        <is>
          <t>Strategic brief, funding and approval</t>
        </is>
      </c>
      <c r="E37" s="6" t="inlineStr">
        <is>
          <t>A1000</t>
        </is>
      </c>
      <c r="F37" s="9" t="n">
        <v>3</v>
      </c>
      <c r="G37" s="6" t="inlineStr">
        <is>
          <t>No</t>
        </is>
      </c>
      <c r="H37" s="6" t="inlineStr">
        <is>
          <t>Duration derived from sector schedule model, duration reflects design maturity, procurement evidence, interface control, commissioning and operational readiness..</t>
        </is>
      </c>
    </row>
    <row r="38">
      <c r="A38" s="6" t="inlineStr">
        <is>
          <t>4</t>
        </is>
      </c>
      <c r="B38" s="6" t="inlineStr">
        <is>
          <t>A1200</t>
        </is>
      </c>
      <c r="C38" s="6" t="inlineStr">
        <is>
          <t>Scope</t>
        </is>
      </c>
      <c r="D38" s="6" t="inlineStr">
        <is>
          <t>Requirements definition and scope freeze</t>
        </is>
      </c>
      <c r="E38" s="6" t="inlineStr">
        <is>
          <t>A1100</t>
        </is>
      </c>
      <c r="F38" s="9" t="n">
        <v>3</v>
      </c>
      <c r="G38" s="6" t="inlineStr">
        <is>
          <t>No</t>
        </is>
      </c>
      <c r="H38" s="6" t="inlineStr">
        <is>
          <t>Duration derived from sector schedule model, duration reflects design maturity, procurement evidence, interface control, commissioning and operational readiness..</t>
        </is>
      </c>
    </row>
    <row r="39">
      <c r="A39" s="6" t="inlineStr">
        <is>
          <t>4</t>
        </is>
      </c>
      <c r="B39" s="6" t="inlineStr">
        <is>
          <t>A1300</t>
        </is>
      </c>
      <c r="C39" s="6" t="inlineStr">
        <is>
          <t>Design</t>
        </is>
      </c>
      <c r="D39" s="6" t="inlineStr">
        <is>
          <t>Concept / reference architecture</t>
        </is>
      </c>
      <c r="E39" s="6" t="inlineStr">
        <is>
          <t>A1200</t>
        </is>
      </c>
      <c r="F39" s="9" t="n">
        <v>5</v>
      </c>
      <c r="G39" s="6" t="inlineStr">
        <is>
          <t>No</t>
        </is>
      </c>
      <c r="H39" s="6" t="inlineStr">
        <is>
          <t>Duration derived from sector schedule model, duration reflects design maturity, procurement evidence, interface control, commissioning and operational readiness..</t>
        </is>
      </c>
    </row>
    <row r="40">
      <c r="A40" s="6" t="inlineStr">
        <is>
          <t>4</t>
        </is>
      </c>
      <c r="B40" s="6" t="inlineStr">
        <is>
          <t>A1400</t>
        </is>
      </c>
      <c r="C40" s="6" t="inlineStr">
        <is>
          <t>Consents</t>
        </is>
      </c>
      <c r="D40" s="6" t="inlineStr">
        <is>
          <t>Planning, regulatory and stakeholder approvals</t>
        </is>
      </c>
      <c r="E40" s="6" t="inlineStr">
        <is>
          <t>A1200</t>
        </is>
      </c>
      <c r="F40" s="9" t="n">
        <v>5</v>
      </c>
      <c r="G40" s="6" t="inlineStr">
        <is>
          <t>Yes</t>
        </is>
      </c>
      <c r="H40" s="6" t="inlineStr">
        <is>
          <t>Duration derived from sector schedule model, duration reflects design maturity, procurement evidence, interface control, commissioning and operational readiness..</t>
        </is>
      </c>
    </row>
    <row r="41">
      <c r="A41" s="6" t="inlineStr">
        <is>
          <t>4</t>
        </is>
      </c>
      <c r="B41" s="6" t="inlineStr">
        <is>
          <t>A1500</t>
        </is>
      </c>
      <c r="C41" s="6" t="inlineStr">
        <is>
          <t>Procurement</t>
        </is>
      </c>
      <c r="D41" s="6" t="inlineStr">
        <is>
          <t>Procurement strategy and tender packaging</t>
        </is>
      </c>
      <c r="E41" s="6" t="inlineStr">
        <is>
          <t>A1300</t>
        </is>
      </c>
      <c r="F41" s="9" t="n">
        <v>3</v>
      </c>
      <c r="G41" s="6" t="inlineStr">
        <is>
          <t>No</t>
        </is>
      </c>
      <c r="H41" s="6" t="inlineStr">
        <is>
          <t>Duration derived from sector schedule model, duration reflects design maturity, procurement evidence, interface control, commissioning and operational readiness..</t>
        </is>
      </c>
    </row>
    <row r="42">
      <c r="A42" s="6" t="inlineStr">
        <is>
          <t>4</t>
        </is>
      </c>
      <c r="B42" s="6" t="inlineStr">
        <is>
          <t>A1600</t>
        </is>
      </c>
      <c r="C42" s="6" t="inlineStr">
        <is>
          <t>Design</t>
        </is>
      </c>
      <c r="D42" s="6" t="inlineStr">
        <is>
          <t>Detailed design / IFC development</t>
        </is>
      </c>
      <c r="E42" s="6" t="inlineStr">
        <is>
          <t>A1300</t>
        </is>
      </c>
      <c r="F42" s="9" t="n">
        <v>6</v>
      </c>
      <c r="G42" s="6" t="inlineStr">
        <is>
          <t>No</t>
        </is>
      </c>
      <c r="H42" s="6" t="inlineStr">
        <is>
          <t>Duration derived from sector schedule model, duration reflects design maturity, procurement evidence, interface control, commissioning and operational readiness..</t>
        </is>
      </c>
    </row>
    <row r="43">
      <c r="A43" s="6" t="inlineStr">
        <is>
          <t>4</t>
        </is>
      </c>
      <c r="B43" s="6" t="inlineStr">
        <is>
          <t>A1700</t>
        </is>
      </c>
      <c r="C43" s="6" t="inlineStr">
        <is>
          <t>Procurement</t>
        </is>
      </c>
      <c r="D43" s="6" t="inlineStr">
        <is>
          <t>Long-lead procurement</t>
        </is>
      </c>
      <c r="E43" s="6" t="inlineStr">
        <is>
          <t>A1500</t>
        </is>
      </c>
      <c r="F43" s="9" t="n">
        <v>5</v>
      </c>
      <c r="G43" s="6" t="inlineStr">
        <is>
          <t>Yes</t>
        </is>
      </c>
      <c r="H43" s="6" t="inlineStr">
        <is>
          <t>Duration derived from sector schedule model, duration reflects design maturity, procurement evidence, interface control, commissioning and operational readiness..</t>
        </is>
      </c>
    </row>
    <row r="44">
      <c r="A44" s="6" t="inlineStr">
        <is>
          <t>4</t>
        </is>
      </c>
      <c r="B44" s="6" t="inlineStr">
        <is>
          <t>A1800</t>
        </is>
      </c>
      <c r="C44" s="6" t="inlineStr">
        <is>
          <t>Enabling</t>
        </is>
      </c>
      <c r="D44" s="6" t="inlineStr">
        <is>
          <t>Site / launch integration readiness</t>
        </is>
      </c>
      <c r="E44" s="6" t="inlineStr">
        <is>
          <t>A1400;A1500</t>
        </is>
      </c>
      <c r="F44" s="9" t="n">
        <v>4</v>
      </c>
      <c r="G44" s="6" t="inlineStr">
        <is>
          <t>No</t>
        </is>
      </c>
      <c r="H44" s="6" t="inlineStr">
        <is>
          <t>Duration derived from sector schedule model, duration reflects design maturity, procurement evidence, interface control, commissioning and operational readiness..</t>
        </is>
      </c>
    </row>
    <row r="45">
      <c r="A45" s="6" t="inlineStr">
        <is>
          <t>4</t>
        </is>
      </c>
      <c r="B45" s="6" t="inlineStr">
        <is>
          <t>A1900</t>
        </is>
      </c>
      <c r="C45" s="6" t="inlineStr">
        <is>
          <t>Delivery</t>
        </is>
      </c>
      <c r="D45" s="6" t="inlineStr">
        <is>
          <t>Main construction / fabrication / assembly</t>
        </is>
      </c>
      <c r="E45" s="6" t="inlineStr">
        <is>
          <t>A1600;A1700;A1800</t>
        </is>
      </c>
      <c r="F45" s="9" t="n">
        <v>13</v>
      </c>
      <c r="G45" s="6" t="inlineStr">
        <is>
          <t>Yes</t>
        </is>
      </c>
      <c r="H45" s="6" t="inlineStr">
        <is>
          <t>Duration derived from sector schedule model, duration reflects design maturity, procurement evidence, interface control, commissioning and operational readiness..</t>
        </is>
      </c>
    </row>
    <row r="46">
      <c r="A46" s="6" t="inlineStr">
        <is>
          <t>4</t>
        </is>
      </c>
      <c r="B46" s="6" t="inlineStr">
        <is>
          <t>A2000</t>
        </is>
      </c>
      <c r="C46" s="6" t="inlineStr">
        <is>
          <t>Integration</t>
        </is>
      </c>
      <c r="D46" s="6" t="inlineStr">
        <is>
          <t>Systems integration and testing</t>
        </is>
      </c>
      <c r="E46" s="6" t="inlineStr">
        <is>
          <t>A1900</t>
        </is>
      </c>
      <c r="F46" s="9" t="n">
        <v>6</v>
      </c>
      <c r="G46" s="6" t="inlineStr">
        <is>
          <t>Yes</t>
        </is>
      </c>
      <c r="H46" s="6" t="inlineStr">
        <is>
          <t>Duration derived from sector schedule model, duration reflects design maturity, procurement evidence, interface control, commissioning and operational readiness..</t>
        </is>
      </c>
    </row>
    <row r="47">
      <c r="A47" s="6" t="inlineStr">
        <is>
          <t>4</t>
        </is>
      </c>
      <c r="B47" s="6" t="inlineStr">
        <is>
          <t>A2100</t>
        </is>
      </c>
      <c r="C47" s="6" t="inlineStr">
        <is>
          <t>Handover</t>
        </is>
      </c>
      <c r="D47" s="6" t="inlineStr">
        <is>
          <t>Commissioning, operations readiness and closeout</t>
        </is>
      </c>
      <c r="E47" s="6" t="inlineStr">
        <is>
          <t>A2000</t>
        </is>
      </c>
      <c r="F47" s="9" t="n">
        <v>3</v>
      </c>
      <c r="G47" s="6" t="inlineStr">
        <is>
          <t>Yes</t>
        </is>
      </c>
      <c r="H47" s="6" t="inlineStr">
        <is>
          <t>Duration derived from sector schedule model, duration reflects design maturity, procurement evidence, interface control, commissioning and operational readiness..</t>
        </is>
      </c>
    </row>
    <row r="48">
      <c r="A48" s="6" t="inlineStr">
        <is>
          <t>4</t>
        </is>
      </c>
      <c r="B48" s="6" t="inlineStr">
        <is>
          <t>P1000</t>
        </is>
      </c>
      <c r="C48" s="6" t="inlineStr">
        <is>
          <t>Package</t>
        </is>
      </c>
      <c r="D48" s="6" t="inlineStr">
        <is>
          <t>Civil / structural package</t>
        </is>
      </c>
      <c r="E48" s="6" t="inlineStr">
        <is>
          <t>A1900</t>
        </is>
      </c>
      <c r="F48" s="9" t="n">
        <v>2</v>
      </c>
      <c r="G48" s="6" t="inlineStr">
        <is>
          <t>Yes</t>
        </is>
      </c>
      <c r="H48" s="6" t="inlineStr">
        <is>
          <t>Duration derived from sector schedule model, duration reflects design maturity, procurement evidence, interface control, commissioning and operational readiness..</t>
        </is>
      </c>
    </row>
    <row r="49">
      <c r="A49" s="6" t="inlineStr">
        <is>
          <t>4</t>
        </is>
      </c>
      <c r="B49" s="6" t="inlineStr">
        <is>
          <t>P2000</t>
        </is>
      </c>
      <c r="C49" s="6" t="inlineStr">
        <is>
          <t>Package</t>
        </is>
      </c>
      <c r="D49" s="6" t="inlineStr">
        <is>
          <t>MEP / systems package</t>
        </is>
      </c>
      <c r="E49" s="6" t="inlineStr">
        <is>
          <t>P1000</t>
        </is>
      </c>
      <c r="F49" s="9" t="n">
        <v>2</v>
      </c>
      <c r="G49" s="6" t="inlineStr">
        <is>
          <t>Yes</t>
        </is>
      </c>
      <c r="H49" s="6" t="inlineStr">
        <is>
          <t>Duration derived from sector schedule model, duration reflects design maturity, procurement evidence, interface control, commissioning and operational readiness..</t>
        </is>
      </c>
    </row>
    <row r="50">
      <c r="A50" s="6" t="inlineStr">
        <is>
          <t>4</t>
        </is>
      </c>
      <c r="B50" s="6" t="inlineStr">
        <is>
          <t>P3000</t>
        </is>
      </c>
      <c r="C50" s="6" t="inlineStr">
        <is>
          <t>Package</t>
        </is>
      </c>
      <c r="D50" s="6" t="inlineStr">
        <is>
          <t>Specialist equipment package</t>
        </is>
      </c>
      <c r="E50" s="6" t="inlineStr">
        <is>
          <t>P2000</t>
        </is>
      </c>
      <c r="F50" s="9" t="n">
        <v>2</v>
      </c>
      <c r="G50" s="6" t="inlineStr">
        <is>
          <t>Yes</t>
        </is>
      </c>
      <c r="H50" s="6" t="inlineStr">
        <is>
          <t>Duration derived from sector schedule model, duration reflects design maturity, procurement evidence, interface control, commissioning and operational readiness..</t>
        </is>
      </c>
    </row>
    <row r="51">
      <c r="A51" s="6" t="inlineStr">
        <is>
          <t>4</t>
        </is>
      </c>
      <c r="B51" s="6" t="inlineStr">
        <is>
          <t>P4000</t>
        </is>
      </c>
      <c r="C51" s="6" t="inlineStr">
        <is>
          <t>Package</t>
        </is>
      </c>
      <c r="D51" s="6" t="inlineStr">
        <is>
          <t>Utilities / interfaces package</t>
        </is>
      </c>
      <c r="E51" s="6" t="inlineStr">
        <is>
          <t>P3000</t>
        </is>
      </c>
      <c r="F51" s="9" t="n">
        <v>2</v>
      </c>
      <c r="G51" s="6" t="inlineStr">
        <is>
          <t>Yes</t>
        </is>
      </c>
      <c r="H51" s="6" t="inlineStr">
        <is>
          <t>Duration derived from sector schedule model, duration reflects design maturity, procurement evidence, interface control, commissioning and operational readiness..</t>
        </is>
      </c>
    </row>
    <row r="52">
      <c r="A52" s="6" t="inlineStr">
        <is>
          <t>4</t>
        </is>
      </c>
      <c r="B52" s="6" t="inlineStr">
        <is>
          <t>P5000</t>
        </is>
      </c>
      <c r="C52" s="6" t="inlineStr">
        <is>
          <t>Package</t>
        </is>
      </c>
      <c r="D52" s="6" t="inlineStr">
        <is>
          <t>Testing and commissioning package</t>
        </is>
      </c>
      <c r="E52" s="6" t="inlineStr">
        <is>
          <t>P4000</t>
        </is>
      </c>
      <c r="F52" s="9" t="n">
        <v>2</v>
      </c>
      <c r="G52" s="6" t="inlineStr">
        <is>
          <t>Yes</t>
        </is>
      </c>
      <c r="H52" s="6" t="inlineStr">
        <is>
          <t>Duration derived from sector schedule model, duration reflects design maturity, procurement evidence, interface control, commissioning and operational readiness..</t>
        </is>
      </c>
    </row>
    <row r="53">
      <c r="A53" s="6" t="inlineStr">
        <is>
          <t>5</t>
        </is>
      </c>
      <c r="B53" s="6" t="inlineStr">
        <is>
          <t>A1000</t>
        </is>
      </c>
      <c r="C53" s="6" t="inlineStr">
        <is>
          <t>Governance</t>
        </is>
      </c>
      <c r="D53" s="6" t="inlineStr">
        <is>
          <t>Project initiation / controls setup</t>
        </is>
      </c>
      <c r="E53" s="6" t="n"/>
      <c r="F53" s="9" t="n">
        <v>2</v>
      </c>
      <c r="G53" s="6" t="inlineStr">
        <is>
          <t>No</t>
        </is>
      </c>
      <c r="H53" s="6" t="inlineStr">
        <is>
          <t>Duration derived from sector schedule model, selected schedule level and scenario compression/buffer logic.</t>
        </is>
      </c>
    </row>
    <row r="54">
      <c r="A54" s="6" t="inlineStr">
        <is>
          <t>5</t>
        </is>
      </c>
      <c r="B54" s="6" t="inlineStr">
        <is>
          <t>A1100</t>
        </is>
      </c>
      <c r="C54" s="6" t="inlineStr">
        <is>
          <t>Business Case</t>
        </is>
      </c>
      <c r="D54" s="6" t="inlineStr">
        <is>
          <t>Strategic brief, funding and approval</t>
        </is>
      </c>
      <c r="E54" s="6" t="inlineStr">
        <is>
          <t>A1000</t>
        </is>
      </c>
      <c r="F54" s="9" t="n">
        <v>3</v>
      </c>
      <c r="G54" s="6" t="inlineStr">
        <is>
          <t>No</t>
        </is>
      </c>
      <c r="H54" s="6" t="inlineStr">
        <is>
          <t>Duration derived from sector schedule model, selected schedule level and scenario compression/buffer logic.</t>
        </is>
      </c>
    </row>
    <row r="55">
      <c r="A55" s="6" t="inlineStr">
        <is>
          <t>5</t>
        </is>
      </c>
      <c r="B55" s="6" t="inlineStr">
        <is>
          <t>A1200</t>
        </is>
      </c>
      <c r="C55" s="6" t="inlineStr">
        <is>
          <t>Scope</t>
        </is>
      </c>
      <c r="D55" s="6" t="inlineStr">
        <is>
          <t>Requirements definition and scope freeze</t>
        </is>
      </c>
      <c r="E55" s="6" t="inlineStr">
        <is>
          <t>A1100</t>
        </is>
      </c>
      <c r="F55" s="9" t="n">
        <v>3</v>
      </c>
      <c r="G55" s="6" t="inlineStr">
        <is>
          <t>No</t>
        </is>
      </c>
      <c r="H55" s="6" t="inlineStr">
        <is>
          <t>Duration derived from sector schedule model, selected schedule level and scenario compression/buffer logic.</t>
        </is>
      </c>
    </row>
    <row r="56">
      <c r="A56" s="6" t="inlineStr">
        <is>
          <t>5</t>
        </is>
      </c>
      <c r="B56" s="6" t="inlineStr">
        <is>
          <t>A1300</t>
        </is>
      </c>
      <c r="C56" s="6" t="inlineStr">
        <is>
          <t>Design</t>
        </is>
      </c>
      <c r="D56" s="6" t="inlineStr">
        <is>
          <t>Concept / reference architecture</t>
        </is>
      </c>
      <c r="E56" s="6" t="inlineStr">
        <is>
          <t>A1200</t>
        </is>
      </c>
      <c r="F56" s="9" t="n">
        <v>5</v>
      </c>
      <c r="G56" s="6" t="inlineStr">
        <is>
          <t>No</t>
        </is>
      </c>
      <c r="H56" s="6" t="inlineStr">
        <is>
          <t>Duration derived from sector schedule model, selected schedule level and scenario compression/buffer logic.</t>
        </is>
      </c>
    </row>
    <row r="57">
      <c r="A57" s="6" t="inlineStr">
        <is>
          <t>5</t>
        </is>
      </c>
      <c r="B57" s="6" t="inlineStr">
        <is>
          <t>A1400</t>
        </is>
      </c>
      <c r="C57" s="6" t="inlineStr">
        <is>
          <t>Consents</t>
        </is>
      </c>
      <c r="D57" s="6" t="inlineStr">
        <is>
          <t>Planning, regulatory and stakeholder approvals</t>
        </is>
      </c>
      <c r="E57" s="6" t="inlineStr">
        <is>
          <t>A1200</t>
        </is>
      </c>
      <c r="F57" s="9" t="n">
        <v>5</v>
      </c>
      <c r="G57" s="6" t="inlineStr">
        <is>
          <t>Yes</t>
        </is>
      </c>
      <c r="H57" s="6" t="inlineStr">
        <is>
          <t>Duration derived from sector schedule model, selected schedule level and scenario compression/buffer logic.</t>
        </is>
      </c>
    </row>
    <row r="58">
      <c r="A58" s="6" t="inlineStr">
        <is>
          <t>5</t>
        </is>
      </c>
      <c r="B58" s="6" t="inlineStr">
        <is>
          <t>A1500</t>
        </is>
      </c>
      <c r="C58" s="6" t="inlineStr">
        <is>
          <t>Procurement</t>
        </is>
      </c>
      <c r="D58" s="6" t="inlineStr">
        <is>
          <t>Procurement strategy and tender packaging</t>
        </is>
      </c>
      <c r="E58" s="6" t="inlineStr">
        <is>
          <t>A1300</t>
        </is>
      </c>
      <c r="F58" s="9" t="n">
        <v>3</v>
      </c>
      <c r="G58" s="6" t="inlineStr">
        <is>
          <t>No</t>
        </is>
      </c>
      <c r="H58" s="6" t="inlineStr">
        <is>
          <t>Duration derived from sector schedule model, selected schedule level and scenario compression/buffer logic.</t>
        </is>
      </c>
    </row>
    <row r="59">
      <c r="A59" s="6" t="inlineStr">
        <is>
          <t>5</t>
        </is>
      </c>
      <c r="B59" s="6" t="inlineStr">
        <is>
          <t>A1600</t>
        </is>
      </c>
      <c r="C59" s="6" t="inlineStr">
        <is>
          <t>Design</t>
        </is>
      </c>
      <c r="D59" s="6" t="inlineStr">
        <is>
          <t>Detailed design / IFC development</t>
        </is>
      </c>
      <c r="E59" s="6" t="inlineStr">
        <is>
          <t>A1300</t>
        </is>
      </c>
      <c r="F59" s="9" t="n">
        <v>6</v>
      </c>
      <c r="G59" s="6" t="inlineStr">
        <is>
          <t>No</t>
        </is>
      </c>
      <c r="H59" s="6" t="inlineStr">
        <is>
          <t>Duration derived from sector schedule model, selected schedule level and scenario compression/buffer logic.</t>
        </is>
      </c>
    </row>
    <row r="60">
      <c r="A60" s="6" t="inlineStr">
        <is>
          <t>5</t>
        </is>
      </c>
      <c r="B60" s="6" t="inlineStr">
        <is>
          <t>A1700</t>
        </is>
      </c>
      <c r="C60" s="6" t="inlineStr">
        <is>
          <t>Procurement</t>
        </is>
      </c>
      <c r="D60" s="6" t="inlineStr">
        <is>
          <t>Long-lead procurement</t>
        </is>
      </c>
      <c r="E60" s="6" t="inlineStr">
        <is>
          <t>A1500</t>
        </is>
      </c>
      <c r="F60" s="9" t="n">
        <v>5</v>
      </c>
      <c r="G60" s="6" t="inlineStr">
        <is>
          <t>Yes</t>
        </is>
      </c>
      <c r="H60" s="6" t="inlineStr">
        <is>
          <t>Duration derived from sector schedule model, selected schedule level and scenario compression/buffer logic.</t>
        </is>
      </c>
    </row>
    <row r="61">
      <c r="A61" s="6" t="inlineStr">
        <is>
          <t>5</t>
        </is>
      </c>
      <c r="B61" s="6" t="inlineStr">
        <is>
          <t>A1800</t>
        </is>
      </c>
      <c r="C61" s="6" t="inlineStr">
        <is>
          <t>Enabling</t>
        </is>
      </c>
      <c r="D61" s="6" t="inlineStr">
        <is>
          <t>Site / launch integration readiness</t>
        </is>
      </c>
      <c r="E61" s="6" t="inlineStr">
        <is>
          <t>A1400;A1500</t>
        </is>
      </c>
      <c r="F61" s="9" t="n">
        <v>4</v>
      </c>
      <c r="G61" s="6" t="inlineStr">
        <is>
          <t>No</t>
        </is>
      </c>
      <c r="H61" s="6" t="inlineStr">
        <is>
          <t>Duration derived from sector schedule model, selected schedule level and scenario compression/buffer logic.</t>
        </is>
      </c>
    </row>
    <row r="62">
      <c r="A62" s="6" t="inlineStr">
        <is>
          <t>5</t>
        </is>
      </c>
      <c r="B62" s="6" t="inlineStr">
        <is>
          <t>A1900</t>
        </is>
      </c>
      <c r="C62" s="6" t="inlineStr">
        <is>
          <t>Delivery</t>
        </is>
      </c>
      <c r="D62" s="6" t="inlineStr">
        <is>
          <t>Main construction / fabrication / assembly</t>
        </is>
      </c>
      <c r="E62" s="6" t="inlineStr">
        <is>
          <t>A1600;A1700;A1800</t>
        </is>
      </c>
      <c r="F62" s="9" t="n">
        <v>13</v>
      </c>
      <c r="G62" s="6" t="inlineStr">
        <is>
          <t>Yes</t>
        </is>
      </c>
      <c r="H62" s="6" t="inlineStr">
        <is>
          <t>Duration derived from sector schedule model, selected schedule level and scenario compression/buffer logic.</t>
        </is>
      </c>
    </row>
    <row r="63">
      <c r="A63" s="6" t="inlineStr">
        <is>
          <t>5</t>
        </is>
      </c>
      <c r="B63" s="6" t="inlineStr">
        <is>
          <t>A2000</t>
        </is>
      </c>
      <c r="C63" s="6" t="inlineStr">
        <is>
          <t>Integration</t>
        </is>
      </c>
      <c r="D63" s="6" t="inlineStr">
        <is>
          <t>Systems integration and testing</t>
        </is>
      </c>
      <c r="E63" s="6" t="inlineStr">
        <is>
          <t>A1900</t>
        </is>
      </c>
      <c r="F63" s="9" t="n">
        <v>6</v>
      </c>
      <c r="G63" s="6" t="inlineStr">
        <is>
          <t>Yes</t>
        </is>
      </c>
      <c r="H63" s="6" t="inlineStr">
        <is>
          <t>Duration derived from sector schedule model, selected schedule level and scenario compression/buffer logic.</t>
        </is>
      </c>
    </row>
    <row r="64">
      <c r="A64" s="6" t="inlineStr">
        <is>
          <t>5</t>
        </is>
      </c>
      <c r="B64" s="6" t="inlineStr">
        <is>
          <t>A2100</t>
        </is>
      </c>
      <c r="C64" s="6" t="inlineStr">
        <is>
          <t>Handover</t>
        </is>
      </c>
      <c r="D64" s="6" t="inlineStr">
        <is>
          <t>Commissioning, operations readiness and closeout</t>
        </is>
      </c>
      <c r="E64" s="6" t="inlineStr">
        <is>
          <t>A2000</t>
        </is>
      </c>
      <c r="F64" s="9" t="n">
        <v>3</v>
      </c>
      <c r="G64" s="6" t="inlineStr">
        <is>
          <t>Yes</t>
        </is>
      </c>
      <c r="H64" s="6" t="inlineStr">
        <is>
          <t>Duration derived from sector schedule model, selected schedule level and scenario compression/buffer logic.</t>
        </is>
      </c>
    </row>
    <row r="65">
      <c r="A65" s="6" t="inlineStr">
        <is>
          <t>5</t>
        </is>
      </c>
      <c r="B65" s="6" t="inlineStr">
        <is>
          <t>P1000</t>
        </is>
      </c>
      <c r="C65" s="6" t="inlineStr">
        <is>
          <t>Package</t>
        </is>
      </c>
      <c r="D65" s="6" t="inlineStr">
        <is>
          <t>Civil / structural package</t>
        </is>
      </c>
      <c r="E65" s="6" t="inlineStr">
        <is>
          <t>A1900</t>
        </is>
      </c>
      <c r="F65" s="9" t="n">
        <v>2</v>
      </c>
      <c r="G65" s="6" t="inlineStr">
        <is>
          <t>Yes</t>
        </is>
      </c>
      <c r="H65" s="6" t="inlineStr">
        <is>
          <t>Duration derived from sector schedule model, selected schedule level and scenario compression/buffer logic.</t>
        </is>
      </c>
    </row>
    <row r="66">
      <c r="A66" s="6" t="inlineStr">
        <is>
          <t>5</t>
        </is>
      </c>
      <c r="B66" s="6" t="inlineStr">
        <is>
          <t>P1100</t>
        </is>
      </c>
      <c r="C66" s="6" t="inlineStr">
        <is>
          <t>Activity</t>
        </is>
      </c>
      <c r="D66" s="6" t="inlineStr">
        <is>
          <t>Civil / structural package - mobilise / method</t>
        </is>
      </c>
      <c r="E66" s="6" t="inlineStr">
        <is>
          <t>A1900</t>
        </is>
      </c>
      <c r="F66" s="9" t="n">
        <v>1</v>
      </c>
      <c r="G66" s="6" t="inlineStr">
        <is>
          <t>Yes</t>
        </is>
      </c>
      <c r="H66" s="6" t="inlineStr">
        <is>
          <t>Duration derived from sector schedule model, selected schedule level and scenario compression/buffer logic.</t>
        </is>
      </c>
    </row>
    <row r="67">
      <c r="A67" s="6" t="inlineStr">
        <is>
          <t>5</t>
        </is>
      </c>
      <c r="B67" s="6" t="inlineStr">
        <is>
          <t>P1200</t>
        </is>
      </c>
      <c r="C67" s="6" t="inlineStr">
        <is>
          <t>Activity</t>
        </is>
      </c>
      <c r="D67" s="6" t="inlineStr">
        <is>
          <t>Civil / structural package - execute works</t>
        </is>
      </c>
      <c r="E67" s="6" t="inlineStr">
        <is>
          <t>P1100</t>
        </is>
      </c>
      <c r="F67" s="9" t="n">
        <v>1</v>
      </c>
      <c r="G67" s="6" t="inlineStr">
        <is>
          <t>Yes</t>
        </is>
      </c>
      <c r="H67" s="6" t="inlineStr">
        <is>
          <t>Duration derived from sector schedule model, selected schedule level and scenario compression/buffer logic.</t>
        </is>
      </c>
    </row>
    <row r="68">
      <c r="A68" s="6" t="inlineStr">
        <is>
          <t>5</t>
        </is>
      </c>
      <c r="B68" s="6" t="inlineStr">
        <is>
          <t>P1300</t>
        </is>
      </c>
      <c r="C68" s="6" t="inlineStr">
        <is>
          <t>Activity</t>
        </is>
      </c>
      <c r="D68" s="6" t="inlineStr">
        <is>
          <t>Civil / structural package - inspect / closeout</t>
        </is>
      </c>
      <c r="E68" s="6" t="inlineStr">
        <is>
          <t>P1200</t>
        </is>
      </c>
      <c r="F68" s="9" t="n">
        <v>1</v>
      </c>
      <c r="G68" s="6" t="inlineStr">
        <is>
          <t>Yes</t>
        </is>
      </c>
      <c r="H68" s="6" t="inlineStr">
        <is>
          <t>Duration derived from sector schedule model, selected schedule level and scenario compression/buffer logic.</t>
        </is>
      </c>
    </row>
    <row r="69">
      <c r="A69" s="6" t="inlineStr">
        <is>
          <t>5</t>
        </is>
      </c>
      <c r="B69" s="6" t="inlineStr">
        <is>
          <t>P2000</t>
        </is>
      </c>
      <c r="C69" s="6" t="inlineStr">
        <is>
          <t>Package</t>
        </is>
      </c>
      <c r="D69" s="6" t="inlineStr">
        <is>
          <t>MEP / systems package</t>
        </is>
      </c>
      <c r="E69" s="6" t="inlineStr">
        <is>
          <t>P1000</t>
        </is>
      </c>
      <c r="F69" s="9" t="n">
        <v>2</v>
      </c>
      <c r="G69" s="6" t="inlineStr">
        <is>
          <t>Yes</t>
        </is>
      </c>
      <c r="H69" s="6" t="inlineStr">
        <is>
          <t>Duration derived from sector schedule model, selected schedule level and scenario compression/buffer logic.</t>
        </is>
      </c>
    </row>
    <row r="70">
      <c r="A70" s="6" t="inlineStr">
        <is>
          <t>5</t>
        </is>
      </c>
      <c r="B70" s="6" t="inlineStr">
        <is>
          <t>P2100</t>
        </is>
      </c>
      <c r="C70" s="6" t="inlineStr">
        <is>
          <t>Activity</t>
        </is>
      </c>
      <c r="D70" s="6" t="inlineStr">
        <is>
          <t>MEP / systems package - mobilise / method</t>
        </is>
      </c>
      <c r="E70" s="6" t="inlineStr">
        <is>
          <t>P1000</t>
        </is>
      </c>
      <c r="F70" s="9" t="n">
        <v>1</v>
      </c>
      <c r="G70" s="6" t="inlineStr">
        <is>
          <t>Yes</t>
        </is>
      </c>
      <c r="H70" s="6" t="inlineStr">
        <is>
          <t>Duration derived from sector schedule model, selected schedule level and scenario compression/buffer logic.</t>
        </is>
      </c>
    </row>
    <row r="71">
      <c r="A71" s="6" t="inlineStr">
        <is>
          <t>5</t>
        </is>
      </c>
      <c r="B71" s="6" t="inlineStr">
        <is>
          <t>P2200</t>
        </is>
      </c>
      <c r="C71" s="6" t="inlineStr">
        <is>
          <t>Activity</t>
        </is>
      </c>
      <c r="D71" s="6" t="inlineStr">
        <is>
          <t>MEP / systems package - execute works</t>
        </is>
      </c>
      <c r="E71" s="6" t="inlineStr">
        <is>
          <t>P2100</t>
        </is>
      </c>
      <c r="F71" s="9" t="n">
        <v>1</v>
      </c>
      <c r="G71" s="6" t="inlineStr">
        <is>
          <t>Yes</t>
        </is>
      </c>
      <c r="H71" s="6" t="inlineStr">
        <is>
          <t>Duration derived from sector schedule model, selected schedule level and scenario compression/buffer logic.</t>
        </is>
      </c>
    </row>
    <row r="72">
      <c r="A72" s="6" t="inlineStr">
        <is>
          <t>5</t>
        </is>
      </c>
      <c r="B72" s="6" t="inlineStr">
        <is>
          <t>P2300</t>
        </is>
      </c>
      <c r="C72" s="6" t="inlineStr">
        <is>
          <t>Activity</t>
        </is>
      </c>
      <c r="D72" s="6" t="inlineStr">
        <is>
          <t>MEP / systems package - inspect / closeout</t>
        </is>
      </c>
      <c r="E72" s="6" t="inlineStr">
        <is>
          <t>P2200</t>
        </is>
      </c>
      <c r="F72" s="9" t="n">
        <v>1</v>
      </c>
      <c r="G72" s="6" t="inlineStr">
        <is>
          <t>Yes</t>
        </is>
      </c>
      <c r="H72" s="6" t="inlineStr">
        <is>
          <t>Duration derived from sector schedule model, selected schedule level and scenario compression/buffer logic.</t>
        </is>
      </c>
    </row>
    <row r="73">
      <c r="A73" s="6" t="inlineStr">
        <is>
          <t>5</t>
        </is>
      </c>
      <c r="B73" s="6" t="inlineStr">
        <is>
          <t>P3000</t>
        </is>
      </c>
      <c r="C73" s="6" t="inlineStr">
        <is>
          <t>Package</t>
        </is>
      </c>
      <c r="D73" s="6" t="inlineStr">
        <is>
          <t>Specialist equipment package</t>
        </is>
      </c>
      <c r="E73" s="6" t="inlineStr">
        <is>
          <t>P2000</t>
        </is>
      </c>
      <c r="F73" s="9" t="n">
        <v>2</v>
      </c>
      <c r="G73" s="6" t="inlineStr">
        <is>
          <t>Yes</t>
        </is>
      </c>
      <c r="H73" s="6" t="inlineStr">
        <is>
          <t>Duration derived from sector schedule model, selected schedule level and scenario compression/buffer logic.</t>
        </is>
      </c>
    </row>
    <row r="74">
      <c r="A74" s="6" t="inlineStr">
        <is>
          <t>5</t>
        </is>
      </c>
      <c r="B74" s="6" t="inlineStr">
        <is>
          <t>P3100</t>
        </is>
      </c>
      <c r="C74" s="6" t="inlineStr">
        <is>
          <t>Activity</t>
        </is>
      </c>
      <c r="D74" s="6" t="inlineStr">
        <is>
          <t>Specialist equipment package - mobilise / method</t>
        </is>
      </c>
      <c r="E74" s="6" t="inlineStr">
        <is>
          <t>P2000</t>
        </is>
      </c>
      <c r="F74" s="9" t="n">
        <v>1</v>
      </c>
      <c r="G74" s="6" t="inlineStr">
        <is>
          <t>Yes</t>
        </is>
      </c>
      <c r="H74" s="6" t="inlineStr">
        <is>
          <t>Duration derived from sector schedule model, selected schedule level and scenario compression/buffer logic.</t>
        </is>
      </c>
    </row>
    <row r="75">
      <c r="A75" s="6" t="inlineStr">
        <is>
          <t>5</t>
        </is>
      </c>
      <c r="B75" s="6" t="inlineStr">
        <is>
          <t>P3200</t>
        </is>
      </c>
      <c r="C75" s="6" t="inlineStr">
        <is>
          <t>Activity</t>
        </is>
      </c>
      <c r="D75" s="6" t="inlineStr">
        <is>
          <t>Specialist equipment package - execute works</t>
        </is>
      </c>
      <c r="E75" s="6" t="inlineStr">
        <is>
          <t>P3100</t>
        </is>
      </c>
      <c r="F75" s="9" t="n">
        <v>1</v>
      </c>
      <c r="G75" s="6" t="inlineStr">
        <is>
          <t>Yes</t>
        </is>
      </c>
      <c r="H75" s="6" t="inlineStr">
        <is>
          <t>Duration derived from sector schedule model, selected schedule level and scenario compression/buffer logic.</t>
        </is>
      </c>
    </row>
    <row r="76">
      <c r="A76" s="6" t="inlineStr">
        <is>
          <t>5</t>
        </is>
      </c>
      <c r="B76" s="6" t="inlineStr">
        <is>
          <t>P3300</t>
        </is>
      </c>
      <c r="C76" s="6" t="inlineStr">
        <is>
          <t>Activity</t>
        </is>
      </c>
      <c r="D76" s="6" t="inlineStr">
        <is>
          <t>Specialist equipment package - inspect / closeout</t>
        </is>
      </c>
      <c r="E76" s="6" t="inlineStr">
        <is>
          <t>P3200</t>
        </is>
      </c>
      <c r="F76" s="9" t="n">
        <v>1</v>
      </c>
      <c r="G76" s="6" t="inlineStr">
        <is>
          <t>Yes</t>
        </is>
      </c>
      <c r="H76" s="6" t="inlineStr">
        <is>
          <t>Duration derived from sector schedule model, selected schedule level and scenario compression/buffer logic.</t>
        </is>
      </c>
    </row>
    <row r="77">
      <c r="A77" s="6" t="inlineStr">
        <is>
          <t>5</t>
        </is>
      </c>
      <c r="B77" s="6" t="inlineStr">
        <is>
          <t>P4000</t>
        </is>
      </c>
      <c r="C77" s="6" t="inlineStr">
        <is>
          <t>Package</t>
        </is>
      </c>
      <c r="D77" s="6" t="inlineStr">
        <is>
          <t>Utilities / interfaces package</t>
        </is>
      </c>
      <c r="E77" s="6" t="inlineStr">
        <is>
          <t>P3000</t>
        </is>
      </c>
      <c r="F77" s="9" t="n">
        <v>2</v>
      </c>
      <c r="G77" s="6" t="inlineStr">
        <is>
          <t>Yes</t>
        </is>
      </c>
      <c r="H77" s="6" t="inlineStr">
        <is>
          <t>Duration derived from sector schedule model, selected schedule level and scenario compression/buffer logic.</t>
        </is>
      </c>
    </row>
    <row r="78">
      <c r="A78" s="6" t="inlineStr">
        <is>
          <t>5</t>
        </is>
      </c>
      <c r="B78" s="6" t="inlineStr">
        <is>
          <t>P4100</t>
        </is>
      </c>
      <c r="C78" s="6" t="inlineStr">
        <is>
          <t>Activity</t>
        </is>
      </c>
      <c r="D78" s="6" t="inlineStr">
        <is>
          <t>Utilities / interfaces package - mobilise / method</t>
        </is>
      </c>
      <c r="E78" s="6" t="inlineStr">
        <is>
          <t>P3000</t>
        </is>
      </c>
      <c r="F78" s="9" t="n">
        <v>1</v>
      </c>
      <c r="G78" s="6" t="inlineStr">
        <is>
          <t>Yes</t>
        </is>
      </c>
      <c r="H78" s="6" t="inlineStr">
        <is>
          <t>Duration derived from sector schedule model, selected schedule level and scenario compression/buffer logic.</t>
        </is>
      </c>
    </row>
    <row r="79">
      <c r="A79" s="6" t="inlineStr">
        <is>
          <t>5</t>
        </is>
      </c>
      <c r="B79" s="6" t="inlineStr">
        <is>
          <t>P4200</t>
        </is>
      </c>
      <c r="C79" s="6" t="inlineStr">
        <is>
          <t>Activity</t>
        </is>
      </c>
      <c r="D79" s="6" t="inlineStr">
        <is>
          <t>Utilities / interfaces package - execute works</t>
        </is>
      </c>
      <c r="E79" s="6" t="inlineStr">
        <is>
          <t>P4100</t>
        </is>
      </c>
      <c r="F79" s="9" t="n">
        <v>1</v>
      </c>
      <c r="G79" s="6" t="inlineStr">
        <is>
          <t>Yes</t>
        </is>
      </c>
      <c r="H79" s="6" t="inlineStr">
        <is>
          <t>Duration derived from sector schedule model, selected schedule level and scenario compression/buffer logic.</t>
        </is>
      </c>
    </row>
    <row r="80">
      <c r="A80" s="6" t="inlineStr">
        <is>
          <t>5</t>
        </is>
      </c>
      <c r="B80" s="6" t="inlineStr">
        <is>
          <t>P4300</t>
        </is>
      </c>
      <c r="C80" s="6" t="inlineStr">
        <is>
          <t>Activity</t>
        </is>
      </c>
      <c r="D80" s="6" t="inlineStr">
        <is>
          <t>Utilities / interfaces package - inspect / closeout</t>
        </is>
      </c>
      <c r="E80" s="6" t="inlineStr">
        <is>
          <t>P4200</t>
        </is>
      </c>
      <c r="F80" s="9" t="n">
        <v>1</v>
      </c>
      <c r="G80" s="6" t="inlineStr">
        <is>
          <t>Yes</t>
        </is>
      </c>
      <c r="H80" s="6" t="inlineStr">
        <is>
          <t>Duration derived from sector schedule model, selected schedule level and scenario compression/buffer logic.</t>
        </is>
      </c>
    </row>
    <row r="81">
      <c r="A81" s="6" t="inlineStr">
        <is>
          <t>5</t>
        </is>
      </c>
      <c r="B81" s="6" t="inlineStr">
        <is>
          <t>P5000</t>
        </is>
      </c>
      <c r="C81" s="6" t="inlineStr">
        <is>
          <t>Package</t>
        </is>
      </c>
      <c r="D81" s="6" t="inlineStr">
        <is>
          <t>Testing and commissioning package</t>
        </is>
      </c>
      <c r="E81" s="6" t="inlineStr">
        <is>
          <t>P4000</t>
        </is>
      </c>
      <c r="F81" s="9" t="n">
        <v>2</v>
      </c>
      <c r="G81" s="6" t="inlineStr">
        <is>
          <t>Yes</t>
        </is>
      </c>
      <c r="H81" s="6" t="inlineStr">
        <is>
          <t>Duration derived from sector schedule model, selected schedule level and scenario compression/buffer logic.</t>
        </is>
      </c>
    </row>
    <row r="82">
      <c r="A82" s="6" t="inlineStr">
        <is>
          <t>5</t>
        </is>
      </c>
      <c r="B82" s="6" t="inlineStr">
        <is>
          <t>P5100</t>
        </is>
      </c>
      <c r="C82" s="6" t="inlineStr">
        <is>
          <t>Activity</t>
        </is>
      </c>
      <c r="D82" s="6" t="inlineStr">
        <is>
          <t>Testing and commissioning package - mobilise / method</t>
        </is>
      </c>
      <c r="E82" s="6" t="inlineStr">
        <is>
          <t>P4000</t>
        </is>
      </c>
      <c r="F82" s="9" t="n">
        <v>1</v>
      </c>
      <c r="G82" s="6" t="inlineStr">
        <is>
          <t>Yes</t>
        </is>
      </c>
      <c r="H82" s="6" t="inlineStr">
        <is>
          <t>Duration derived from sector schedule model, selected schedule level and scenario compression/buffer logic.</t>
        </is>
      </c>
    </row>
    <row r="83">
      <c r="A83" s="6" t="inlineStr">
        <is>
          <t>5</t>
        </is>
      </c>
      <c r="B83" s="6" t="inlineStr">
        <is>
          <t>P5200</t>
        </is>
      </c>
      <c r="C83" s="6" t="inlineStr">
        <is>
          <t>Activity</t>
        </is>
      </c>
      <c r="D83" s="6" t="inlineStr">
        <is>
          <t>Testing and commissioning package - execute works</t>
        </is>
      </c>
      <c r="E83" s="6" t="inlineStr">
        <is>
          <t>P5100</t>
        </is>
      </c>
      <c r="F83" s="9" t="n">
        <v>1</v>
      </c>
      <c r="G83" s="6" t="inlineStr">
        <is>
          <t>Yes</t>
        </is>
      </c>
      <c r="H83" s="6" t="inlineStr">
        <is>
          <t>Duration derived from sector schedule model, selected schedule level and scenario compression/buffer logic.</t>
        </is>
      </c>
    </row>
    <row r="84">
      <c r="A84" s="6" t="inlineStr">
        <is>
          <t>5</t>
        </is>
      </c>
      <c r="B84" s="6" t="inlineStr">
        <is>
          <t>P5300</t>
        </is>
      </c>
      <c r="C84" s="6" t="inlineStr">
        <is>
          <t>Activity</t>
        </is>
      </c>
      <c r="D84" s="6" t="inlineStr">
        <is>
          <t>Testing and commissioning package - inspect / closeout</t>
        </is>
      </c>
      <c r="E84" s="6" t="inlineStr">
        <is>
          <t>P5200</t>
        </is>
      </c>
      <c r="F84" s="9" t="n">
        <v>1</v>
      </c>
      <c r="G84" s="6" t="inlineStr">
        <is>
          <t>Yes</t>
        </is>
      </c>
      <c r="H84" s="6" t="inlineStr">
        <is>
          <t>Duration derived from sector schedule model, selected schedule level and scenario compression/buffer logic.</t>
        </is>
      </c>
    </row>
  </sheetData>
  <mergeCells count="1">
    <mergeCell ref="A1:H1"/>
  </mergeCells>
  <pageMargins left="0.3" right="0.3" top="0.4" bottom="0.4" header="0.3" footer="0.3"/>
  <pageSetup orientation="landscape"/>
</worksheet>
</file>

<file path=xl/worksheets/sheet11.xml><?xml version="1.0" encoding="utf-8"?>
<worksheet xmlns="http://schemas.openxmlformats.org/spreadsheetml/2006/main">
  <sheetPr>
    <outlinePr summaryBelow="1" summaryRight="1"/>
    <pageSetUpPr/>
  </sheetPr>
  <dimension ref="A1:D14"/>
  <sheetViews>
    <sheetView showGridLines="0" zoomScale="90" zoomScaleNormal="90" workbookViewId="0">
      <pane ySplit="5" topLeftCell="A6" activePane="bottomLeft" state="frozen"/>
      <selection pane="bottomLeft" activeCell="A1" sqref="A1"/>
    </sheetView>
  </sheetViews>
  <sheetFormatPr baseColWidth="8" defaultRowHeight="15"/>
  <cols>
    <col width="24.7109375" customWidth="1" min="1" max="1"/>
    <col width="100.7109375" customWidth="1" min="2" max="2"/>
  </cols>
  <sheetData>
    <row r="1">
      <c r="A1" s="1" t="inlineStr">
        <is>
          <t>METHOD, ASSUMPTIONS AND AUDIT</t>
        </is>
      </c>
    </row>
    <row r="5">
      <c r="A5" s="7" t="inlineStr">
        <is>
          <t>Area</t>
        </is>
      </c>
      <c r="B5" s="7" t="inlineStr">
        <is>
          <t>Basis</t>
        </is>
      </c>
    </row>
    <row r="6">
      <c r="A6" s="6" t="inlineStr">
        <is>
          <t>Generated</t>
        </is>
      </c>
      <c r="B6" s="6" t="inlineStr">
        <is>
          <t>2026-05-24 16:47 UTC</t>
        </is>
      </c>
    </row>
    <row r="7">
      <c r="A7" s="6" t="inlineStr">
        <is>
          <t>Model version</t>
        </is>
      </c>
      <c r="B7" s="6" t="inlineStr">
        <is>
          <t>CASEY v55 Platinum Outputs Final</t>
        </is>
      </c>
    </row>
    <row r="8">
      <c r="A8" s="6" t="inlineStr">
        <is>
          <t>Scenario</t>
        </is>
      </c>
      <c r="B8" s="6" t="inlineStr">
        <is>
          <t>Base</t>
        </is>
      </c>
    </row>
    <row r="9">
      <c r="A9" s="6" t="inlineStr">
        <is>
          <t>Estimate class</t>
        </is>
      </c>
      <c r="B9" s="6" t="n">
        <v>3</v>
      </c>
    </row>
    <row r="10">
      <c r="A10" s="6" t="inlineStr">
        <is>
          <t>Schedule level</t>
        </is>
      </c>
      <c r="B10" s="6" t="n">
        <v>4</v>
      </c>
    </row>
    <row r="11">
      <c r="A11" s="6" t="inlineStr">
        <is>
          <t>Cost method</t>
        </is>
      </c>
      <c r="B11" s="6" t="inlineStr">
        <is>
          <t>Parametric sector template + location + scale + complexity + scenario + class range</t>
        </is>
      </c>
    </row>
    <row r="12">
      <c r="A12" s="6" t="inlineStr">
        <is>
          <t>QCRA method</t>
        </is>
      </c>
      <c r="B12" s="6" t="inlineStr">
        <is>
          <t>Cost confidence curve and cost-only tornado drivers</t>
        </is>
      </c>
    </row>
    <row r="13">
      <c r="A13" s="6" t="inlineStr">
        <is>
          <t>QSRA method</t>
        </is>
      </c>
      <c r="B13" s="6" t="inlineStr">
        <is>
          <t>Schedule confidence curve and schedule-only tornado drivers</t>
        </is>
      </c>
    </row>
    <row r="14">
      <c r="A14" s="6" t="inlineStr">
        <is>
          <t>Limitation</t>
        </is>
      </c>
      <c r="B14" s="6" t="inlineStr">
        <is>
          <t>First-pass intelligence. Validate with project-specific evidence before commitment.</t>
        </is>
      </c>
    </row>
  </sheetData>
  <mergeCells count="1">
    <mergeCell ref="A1:D1"/>
  </mergeCells>
  <pageMargins left="0.3" right="0.3" top="0.4" bottom="0.4" header="0.3" footer="0.3"/>
  <pageSetup orientation="landscape"/>
</worksheet>
</file>

<file path=xl/worksheets/sheet1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4" customWidth="1" min="1" max="1"/>
    <col width="120" customWidth="1" min="2" max="2"/>
  </cols>
  <sheetData>
    <row r="1">
      <c r="A1" s="17" t="inlineStr">
        <is>
          <t>Section</t>
        </is>
      </c>
      <c r="B1" s="17" t="inlineStr">
        <is>
          <t>Content</t>
        </is>
      </c>
    </row>
    <row r="2">
      <c r="A2" s="17" t="inlineStr">
        <is>
          <t>CASEY Position</t>
        </is>
      </c>
      <c r="B2" s="17" t="inlineStr">
        <is>
          <t>CASEY POSITION
CASEY does not judge Major Infrastructure Programme on headline progress alone.
The programme should be governed through mission assurance, payload integration, launch-window dependency, range availability and qualification maturity. Current confidence (68%) is a board-defensibility signal, not an optimism score. Risk posture is Medium-High; approval should be conditional until evidence proves the governing constraint is controlled.
If management cannot evidence this constraint, the programme is not approval-ready; it is only reportable.</t>
        </is>
      </c>
    </row>
    <row r="3">
      <c r="A3" s="17" t="inlineStr">
        <is>
          <t>Traditional Controls vs CASEY</t>
        </is>
      </c>
      <c r="B3" s="17" t="inlineStr">
        <is>
          <t>TRADITIONAL CONTROLS VS CASEY
Traditional controls view:
Vehicle or facility progress appears to support the target launch window.
CASEY view:
Mission assurance, payload integration and range readiness govern launch confidence.
Why this matters:
Traditional reporting can remain green while confidence is already deteriorating. CASEY reads the behaviour underneath the dashboard: evidence maturity, governing constraint exposure, and whether float/reserve are actually usable.</t>
        </is>
      </c>
    </row>
    <row r="4">
      <c r="A4" s="17" t="inlineStr">
        <is>
          <t>Board Attacks</t>
        </is>
      </c>
      <c r="B4" s="17" t="inlineStr">
        <is>
          <t>LIKELY BOARD ATTACKS
1. Which qualification gate can stop launch?
2. Is range availability booked or assumed?
3. What payload integration risk is understated?
4. Can cadence survive one failed test event?
5. What evidence proves launch readiness beyond schedule intent?</t>
        </is>
      </c>
    </row>
    <row r="5">
      <c r="A5" s="17" t="inlineStr">
        <is>
          <t>What The Board Is Really Deciding</t>
        </is>
      </c>
      <c r="B5" s="17" t="inlineStr">
        <is>
          <t>WHAT THE BOARD IS REALLY DECIDING
The board is not simply approving cost and schedule.
The board is accepting:
- exposure to mission assurance, payload integration, launch-window dependency, range availability and qualification maturity
- the current evidence maturity position
- whether reserve is credible against P80/P90 behaviour
- whether management can recover if the governing constraint slips
Evidence required before unconditional approval:
- mission assurance closure matrix
- payload integration evidence
- range availability plan
- thermal/propulsion qualification gates
- launch readiness review criteria
CASEY POSITION
Approval should be conditional. Confidence improvement requires evidence closure, not a more polished narrative.</t>
        </is>
      </c>
    </row>
    <row r="6">
      <c r="A6" s="17" t="inlineStr">
        <is>
          <t>If This Programme Fails</t>
        </is>
      </c>
      <c r="B6" s="17" t="inlineStr">
        <is>
          <t>IF THIS PROGRAMME FAILS
The most likely external explanation will be:
"launch cadence assumptions exceeded payload, propulsion or mission-assurance maturity."
The internal explanation will be sharper:
Management treated reported progress as equivalent to board-defensible readiness.
CASEY WARNING
The failure mode is behavioural before it is numerical: optimism, weak evidence closure, and late recognition of the governing constraint.</t>
        </is>
      </c>
    </row>
    <row r="7">
      <c r="A7" s="17" t="inlineStr">
        <is>
          <t>Intervention Intelligence</t>
        </is>
      </c>
      <c r="B7" s="17" t="inlineStr">
        <is>
          <t>INTERVENTION INTELLIGENCE
The highest-value intervention is not another status pack.
1. Prove mission assurance, payload integration, launch-window dependency, range availability and qualification maturity with auditable evidence.
2. Convert the weakest assumption into an owned mitigation with trigger, date, owner and residual exposure.
3. Re-run P80/P90 after evidence closure, not after narrative revision.
Fastest confidence unlock:
Close the first missing evidence item: mission assurance closure matrix.
CASEY POSITION
The programme needs targeted evidence closure where confidence is actually governed.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2026-05-24T16:47:46Z</dcterms:created>
  <dcterms:modified xmlns:dcterms="http://purl.org/dc/terms/" xmlns:xsi="http://www.w3.org/2001/XMLSchema-instance" xsi:type="dcterms:W3CDTF">2026-05-24T16:47:46Z</dcterms:modified>
</cp:coreProperties>
</file>