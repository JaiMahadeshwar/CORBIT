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Executive Dashboard" sheetId="1" state="visible" r:id="rId1"/>
    <sheet xmlns:r="http://schemas.openxmlformats.org/officeDocument/2006/relationships" name="01 Basis" sheetId="2" state="visible" r:id="rId2"/>
    <sheet xmlns:r="http://schemas.openxmlformats.org/officeDocument/2006/relationships" name="02 Cost Estimate" sheetId="3" state="visible" r:id="rId3"/>
    <sheet xmlns:r="http://schemas.openxmlformats.org/officeDocument/2006/relationships" name="03 Indirects &amp; Reserves" sheetId="4" state="visible" r:id="rId4"/>
    <sheet xmlns:r="http://schemas.openxmlformats.org/officeDocument/2006/relationships" name="04 QCRA" sheetId="5" state="visible" r:id="rId5"/>
    <sheet xmlns:r="http://schemas.openxmlformats.org/officeDocument/2006/relationships" name="05 QSRA" sheetId="6" state="visible" r:id="rId6"/>
    <sheet xmlns:r="http://schemas.openxmlformats.org/officeDocument/2006/relationships" name="06 Risk Register" sheetId="7" state="visible" r:id="rId7"/>
    <sheet xmlns:r="http://schemas.openxmlformats.org/officeDocument/2006/relationships" name="07 Schedule" sheetId="8" state="visible" r:id="rId8"/>
    <sheet xmlns:r="http://schemas.openxmlformats.org/officeDocument/2006/relationships" name="08 Scenarios" sheetId="9" state="visible" r:id="rId9"/>
    <sheet xmlns:r="http://schemas.openxmlformats.org/officeDocument/2006/relationships" name="09 Benchmarking" sheetId="10" state="visible" r:id="rId10"/>
    <sheet xmlns:r="http://schemas.openxmlformats.org/officeDocument/2006/relationships" name="10 Assump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 &quot;B&quot;"/>
    <numFmt numFmtId="165" formatCode="$#,##0.000 &quot;B&quot;"/>
    <numFmt numFmtId="166" formatCode="0.0%"/>
  </numFmts>
  <fonts count="11">
    <font>
      <name val="Calibri"/>
      <family val="2"/>
      <color theme="1"/>
      <sz val="11"/>
      <scheme val="minor"/>
    </font>
    <font>
      <name val="Aptos Display"/>
      <b val="1"/>
      <color rgb="008DF7FF"/>
      <sz val="18"/>
    </font>
    <font>
      <name val="Aptos"/>
      <color rgb="009FB3C8"/>
      <sz val="10"/>
    </font>
    <font>
      <name val="Aptos"/>
      <color rgb="00EAF6FF"/>
      <sz val="10"/>
    </font>
    <font>
      <name val="Aptos Display"/>
      <b val="1"/>
      <color rgb="008DF7FF"/>
      <sz val="16"/>
    </font>
    <font>
      <name val="Aptos"/>
      <b val="1"/>
      <color rgb="009FB3C8"/>
      <sz val="9"/>
    </font>
    <font>
      <name val="Aptos Display"/>
      <b val="1"/>
      <color rgb="00F7FBFF"/>
      <sz val="18"/>
    </font>
    <font>
      <name val="Aptos Display"/>
      <b val="1"/>
      <color rgb="008DF7FF"/>
      <sz val="14"/>
    </font>
    <font>
      <b val="1"/>
      <color rgb="0002050A"/>
    </font>
    <font>
      <name val="Aptos"/>
      <b val="1"/>
      <color rgb="008DF7FF"/>
      <sz val="10"/>
    </font>
    <font>
      <b val="1"/>
      <color rgb="008DF7FF"/>
      <sz val="13"/>
    </font>
  </fonts>
  <fills count="9">
    <fill>
      <patternFill/>
    </fill>
    <fill>
      <patternFill patternType="gray125"/>
    </fill>
    <fill>
      <patternFill patternType="solid">
        <fgColor rgb="0002050A"/>
      </patternFill>
    </fill>
    <fill>
      <patternFill patternType="solid">
        <fgColor rgb="0007111F"/>
      </patternFill>
    </fill>
    <fill>
      <patternFill patternType="solid">
        <fgColor rgb="008DF7FF"/>
      </patternFill>
    </fill>
    <fill>
      <patternFill patternType="solid">
        <fgColor rgb="0006101C"/>
      </patternFill>
    </fill>
    <fill>
      <patternFill patternType="solid">
        <fgColor rgb="00071A2F"/>
      </patternFill>
    </fill>
    <fill>
      <patternFill patternType="solid">
        <fgColor rgb="00101827"/>
      </patternFill>
    </fill>
    <fill>
      <patternFill patternType="solid">
        <fgColor rgb="0026111A"/>
      </patternFill>
    </fill>
  </fills>
  <borders count="6">
    <border>
      <left/>
      <right/>
      <top/>
      <bottom/>
      <diagonal/>
    </border>
    <border>
      <bottom style="thin">
        <color rgb="00203040"/>
      </bottom>
    </border>
    <border>
      <left style="thin">
        <color rgb="008DF7FF"/>
      </left>
      <right style="thin">
        <color rgb="00203040"/>
      </right>
      <top style="thin">
        <color rgb="00203040"/>
      </top>
      <bottom style="thin">
        <color rgb="00203040"/>
      </bottom>
    </border>
    <border>
      <left/>
      <right/>
      <top style="thin">
        <color rgb="00203040"/>
      </top>
      <bottom/>
      <diagonal/>
    </border>
    <border>
      <left/>
      <right style="thin">
        <color rgb="00203040"/>
      </right>
      <top style="thin">
        <color rgb="00203040"/>
      </top>
      <bottom/>
      <diagonal/>
    </border>
    <border>
      <left/>
      <right style="thin">
        <color rgb="00203040"/>
      </right>
      <top style="thin">
        <color rgb="00203040"/>
      </top>
      <bottom style="thin">
        <color rgb="00203040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0" fillId="0" borderId="5" pivotButton="0" quotePrefix="0" xfId="0"/>
    <xf numFmtId="0" fontId="6" fillId="3" borderId="2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9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165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165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165" fontId="0" fillId="8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Direct / Indirect / Reserve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 Executive Dashboard'!B33</f>
            </strRef>
          </tx>
          <spPr>
            <a:ln xmlns:a="http://schemas.openxmlformats.org/drawingml/2006/main">
              <a:prstDash val="solid"/>
            </a:ln>
          </spPr>
          <cat>
            <numRef>
              <f>'00 Executive Dashboard'!$A$34:$A$36</f>
            </numRef>
          </cat>
          <val>
            <numRef>
              <f>'00 Executive Dashboard'!$B$34:$B$36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Cost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Selected Estimate Cost Split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'02 Cost Estimate'!B22</f>
            </strRef>
          </tx>
          <spPr>
            <a:ln xmlns:a="http://schemas.openxmlformats.org/drawingml/2006/main">
              <a:prstDash val="solid"/>
            </a:ln>
          </spPr>
          <cat>
            <numRef>
              <f>'02 Cost Estimate'!$A$23:$A$25</f>
            </numRef>
          </cat>
          <val>
            <numRef>
              <f>'02 Cost Estimate'!$B$23:$B$25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QCRA Cost Curve</a:t>
            </a:r>
          </a:p>
        </rich>
      </tx>
    </title>
    <plotArea>
      <lineChart>
        <grouping val="standard"/>
        <ser>
          <idx val="0"/>
          <order val="0"/>
          <tx>
            <strRef>
              <f>'04 QCRA'!B4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 QCRA'!$A$5:$A$17</f>
            </numRef>
          </cat>
          <val>
            <numRef>
              <f>'04 QCRA'!$B$5:$B$17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Cost BN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QCRA Tornado - Cost Drivers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'04 QCRA'!H4</f>
            </strRef>
          </tx>
          <spPr>
            <a:ln xmlns:a="http://schemas.openxmlformats.org/drawingml/2006/main">
              <a:prstDash val="solid"/>
            </a:ln>
          </spPr>
          <cat>
            <numRef>
              <f>'04 QCRA'!$F$5:$F$14</f>
            </numRef>
          </cat>
          <val>
            <numRef>
              <f>'04 QCRA'!$H$5:$H$14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QSRA Schedule Curve</a:t>
            </a:r>
          </a:p>
        </rich>
      </tx>
    </title>
    <plotArea>
      <lineChart>
        <grouping val="standard"/>
        <ser>
          <idx val="0"/>
          <order val="0"/>
          <tx>
            <strRef>
              <f>'05 QSRA'!B4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'05 QSRA'!$A$5:$A$17</f>
            </numRef>
          </cat>
          <val>
            <numRef>
              <f>'05 QSRA'!$B$5:$B$17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QSRA Tornado - Schedule Drivers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'05 QSRA'!H4</f>
            </strRef>
          </tx>
          <spPr>
            <a:ln xmlns:a="http://schemas.openxmlformats.org/drawingml/2006/main">
              <a:prstDash val="solid"/>
            </a:ln>
          </spPr>
          <cat>
            <numRef>
              <f>'05 QSRA'!$F$5:$F$14</f>
            </numRef>
          </cat>
          <val>
            <numRef>
              <f>'05 QSRA'!$H$5:$H$14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31</row>
      <rowOff>0</rowOff>
    </from>
    <ext cx="396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21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21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21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21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21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ASEY_CostEstimate" displayName="CASEY_CostEstimate" ref="A4:L19" headerRowCount="1">
  <autoFilter ref="A4:L19"/>
  <tableColumns count="12">
    <tableColumn id="1" name="CBS"/>
    <tableColumn id="2" name="Description"/>
    <tableColumn id="3" name="Type"/>
    <tableColumn id="4" name="Basis"/>
    <tableColumn id="5" name="P10 BN"/>
    <tableColumn id="6" name="P50 BN"/>
    <tableColumn id="7" name="P90 BN"/>
    <tableColumn id="8" name="Min BN"/>
    <tableColumn id="9" name="Most Likely BN"/>
    <tableColumn id="10" name="Max BN"/>
    <tableColumn id="11" name="Scenario Impact"/>
    <tableColumn id="12" name="Evidence / Challen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ASEY_RiskRegister" displayName="CASEY_RiskRegister" ref="A4:X14" headerRowCount="1">
  <autoFilter ref="A4:X14"/>
  <tableColumns count="24">
    <tableColumn id="1" name="Risk ID"/>
    <tableColumn id="2" name="Category"/>
    <tableColumn id="3" name="Title"/>
    <tableColumn id="4" name="Cause"/>
    <tableColumn id="5" name="Risk Event"/>
    <tableColumn id="6" name="Impact Description"/>
    <tableColumn id="7" name="Probability %"/>
    <tableColumn id="8" name="Cost O BN"/>
    <tableColumn id="9" name="Cost M BN"/>
    <tableColumn id="10" name="Cost P BN"/>
    <tableColumn id="11" name="Cost EMV BN"/>
    <tableColumn id="12" name="Schedule O Days"/>
    <tableColumn id="13" name="Schedule M Days"/>
    <tableColumn id="14" name="Schedule P Days"/>
    <tableColumn id="15" name="Schedule EMV Days"/>
    <tableColumn id="16" name="Activity"/>
    <tableColumn id="17" name="CBS"/>
    <tableColumn id="18" name="Owner"/>
    <tableColumn id="19" name="Trigger"/>
    <tableColumn id="20" name="Mitigation"/>
    <tableColumn id="21" name="Response Strategy"/>
    <tableColumn id="22" name="Residual"/>
    <tableColumn id="23" name="Status"/>
    <tableColumn id="24" name="Boar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34" customHeight="1">
      <c r="A1" s="1" t="inlineStr">
        <is>
          <t>CASEY - EXECUTIVE PROJECT CONTROLS INTELLIGENCE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8" customHeight="1">
      <c r="A2" s="3" t="inlineStr">
        <is>
          <t>Board-ready first-pass cost, schedule, risk and confidence model generated from a single connected project basis.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 ht="18" customHeight="1"/>
    <row r="4" ht="18" customHeight="1">
      <c r="A4" s="5" t="inlineStr">
        <is>
          <t>Project</t>
        </is>
      </c>
      <c r="B4" s="5" t="inlineStr">
        <is>
          <t>Airport Infrastructure</t>
        </is>
      </c>
      <c r="D4" s="5" t="inlineStr">
        <is>
          <t>Sector</t>
        </is>
      </c>
      <c r="E4" s="5" t="inlineStr">
        <is>
          <t>Airport / Aviation</t>
        </is>
      </c>
      <c r="G4" s="5" t="inlineStr">
        <is>
          <t>Scenario</t>
        </is>
      </c>
      <c r="H4" s="5" t="inlineStr">
        <is>
          <t>Faster</t>
        </is>
      </c>
      <c r="J4" s="5" t="inlineStr">
        <is>
          <t>Generated</t>
        </is>
      </c>
      <c r="K4" s="5" t="inlineStr">
        <is>
          <t>2026-05-04 21:32 UTC</t>
        </is>
      </c>
    </row>
    <row r="5" ht="18" customHeight="1"/>
    <row r="6" ht="18" customHeight="1">
      <c r="A6" s="6" t="inlineStr">
        <is>
          <t>P10 Cost</t>
        </is>
      </c>
      <c r="B6" s="7" t="n"/>
      <c r="D6" s="6" t="inlineStr">
        <is>
          <t>P50 Cost</t>
        </is>
      </c>
      <c r="E6" s="7" t="n"/>
      <c r="G6" s="6" t="inlineStr">
        <is>
          <t>P90 Cost</t>
        </is>
      </c>
      <c r="H6" s="7" t="n"/>
      <c r="J6" s="6" t="inlineStr">
        <is>
          <t>QCRA P80</t>
        </is>
      </c>
      <c r="K6" s="7" t="n"/>
    </row>
    <row r="7" ht="18" customHeight="1">
      <c r="A7" s="8" t="inlineStr">
        <is>
          <t>$9.2B</t>
        </is>
      </c>
      <c r="B7" s="7" t="n"/>
      <c r="D7" s="8" t="inlineStr">
        <is>
          <t>$11.5B</t>
        </is>
      </c>
      <c r="E7" s="7" t="n"/>
      <c r="G7" s="8" t="inlineStr">
        <is>
          <t>$14.9B</t>
        </is>
      </c>
      <c r="H7" s="7" t="n"/>
      <c r="J7" s="8" t="inlineStr">
        <is>
          <t>$17.9B</t>
        </is>
      </c>
      <c r="K7" s="7" t="n"/>
    </row>
    <row r="8" ht="18" customHeight="1"/>
    <row r="9" ht="18" customHeight="1">
      <c r="A9" s="6" t="inlineStr">
        <is>
          <t>Schedule</t>
        </is>
      </c>
      <c r="B9" s="7" t="n"/>
      <c r="D9" s="6" t="inlineStr">
        <is>
          <t>QSRA P80</t>
        </is>
      </c>
      <c r="E9" s="7" t="n"/>
      <c r="G9" s="6" t="inlineStr">
        <is>
          <t>Risk</t>
        </is>
      </c>
      <c r="H9" s="7" t="n"/>
      <c r="J9" s="6" t="inlineStr">
        <is>
          <t>Confidence</t>
        </is>
      </c>
      <c r="K9" s="7" t="n"/>
    </row>
    <row r="10" ht="18" customHeight="1">
      <c r="A10" s="8" t="inlineStr">
        <is>
          <t>85 months</t>
        </is>
      </c>
      <c r="B10" s="7" t="n"/>
      <c r="D10" s="8" t="inlineStr">
        <is>
          <t>102.19 months</t>
        </is>
      </c>
      <c r="E10" s="7" t="n"/>
      <c r="G10" s="8" t="inlineStr">
        <is>
          <t>Medium</t>
        </is>
      </c>
      <c r="H10" s="7" t="n"/>
      <c r="J10" s="8" t="inlineStr">
        <is>
          <t>59%</t>
        </is>
      </c>
      <c r="K10" s="7" t="n"/>
    </row>
    <row r="11" ht="18" customHeight="1"/>
    <row r="12" ht="18" customHeight="1">
      <c r="A12" s="6" t="inlineStr">
        <is>
          <t>Direct</t>
        </is>
      </c>
      <c r="B12" s="7" t="n"/>
      <c r="D12" s="6" t="inlineStr">
        <is>
          <t>Indirect</t>
        </is>
      </c>
      <c r="E12" s="7" t="n"/>
      <c r="G12" s="6" t="inlineStr">
        <is>
          <t>Reserve</t>
        </is>
      </c>
      <c r="H12" s="7" t="n"/>
    </row>
    <row r="13" ht="18" customHeight="1">
      <c r="A13" s="8" t="inlineStr">
        <is>
          <t>$11.6B</t>
        </is>
      </c>
      <c r="B13" s="7" t="n"/>
      <c r="D13" s="8" t="inlineStr">
        <is>
          <t>$2.0B</t>
        </is>
      </c>
      <c r="E13" s="7" t="n"/>
      <c r="G13" s="8" t="inlineStr">
        <is>
          <t>$1.0B</t>
        </is>
      </c>
      <c r="H13" s="7" t="n"/>
    </row>
    <row r="14" ht="18" customHeight="1"/>
    <row r="15" ht="18" customHeight="1"/>
    <row r="16" ht="18" customHeight="1">
      <c r="A16" s="9" t="inlineStr">
        <is>
          <t>Executive Summary</t>
        </is>
      </c>
    </row>
    <row r="17" ht="18" customHeight="1">
      <c r="A17" s="10" t="inlineStr">
        <is>
          <t>Airport Infrastructure has been classified as Airport / Aviation in Global / Not specified. CASEY estimates $11.5B P50 cost, $9.2B to $14.9B range, 85 month baseline, Medium risk and 59% confidence under the Faster scenario.</t>
        </is>
      </c>
    </row>
    <row r="18" ht="18" customHeight="1"/>
    <row r="19" ht="18" customHeight="1"/>
    <row r="20" ht="18" customHeight="1"/>
    <row r="21" ht="18" customHeight="1"/>
    <row r="22" ht="18" customHeight="1">
      <c r="A22" s="9" t="inlineStr">
        <is>
          <t>Board Recommendation</t>
        </is>
      </c>
    </row>
    <row r="23" ht="18" customHeight="1">
      <c r="A23" s="11" t="inlineStr">
        <is>
          <t>1</t>
        </is>
      </c>
      <c r="B23" s="12" t="inlineStr">
        <is>
          <t>Acceleration selected: schedule compression is funded through logistics premium, parallel procurement and higher delivery intensity.</t>
        </is>
      </c>
    </row>
    <row r="24" ht="18" customHeight="1">
      <c r="A24" s="11" t="inlineStr">
        <is>
          <t>2</t>
        </is>
      </c>
      <c r="B24" s="12" t="inlineStr">
        <is>
          <t>Controls consequence: QSRA risk should be watched closely because interface density and commissioning pressure rise.</t>
        </is>
      </c>
    </row>
    <row r="25" ht="18" customHeight="1">
      <c r="A25" s="11" t="inlineStr">
        <is>
          <t>3</t>
        </is>
      </c>
      <c r="B25" s="12" t="inlineStr">
        <is>
          <t>Board decision: approve acceleration only with package-level recovery plan and explicit acceleration cost allowance.</t>
        </is>
      </c>
    </row>
    <row r="26" ht="18" customHeight="1">
      <c r="A26" s="11" t="inlineStr">
        <is>
          <t>4</t>
        </is>
      </c>
      <c r="B26" s="12" t="inlineStr">
        <is>
          <t>Run a risk workshop to validate probability and O/M/P impacts.</t>
        </is>
      </c>
    </row>
    <row r="27" ht="18" customHeight="1">
      <c r="A27" s="11" t="inlineStr">
        <is>
          <t>5</t>
        </is>
      </c>
      <c r="B27" s="12" t="inlineStr">
        <is>
          <t>Confirm top five CBS cost drivers with benchmark or supplier evidence.</t>
        </is>
      </c>
    </row>
    <row r="28" ht="18" customHeight="1">
      <c r="A28" s="11" t="inlineStr">
        <is>
          <t>6</t>
        </is>
      </c>
      <c r="B28" s="12" t="inlineStr">
        <is>
          <t>Validate the Level 3/4 schedule logic and critical path assumptions.</t>
        </is>
      </c>
    </row>
    <row r="29" ht="18" customHeight="1">
      <c r="A29" s="11" t="inlineStr">
        <is>
          <t>7</t>
        </is>
      </c>
      <c r="B29" s="12" t="inlineStr">
        <is>
          <t>Prepare board decision paper with Base/Faster/Cheaper/Lower-Risk cases.</t>
        </is>
      </c>
    </row>
    <row r="30" ht="18" customHeight="1">
      <c r="A30" s="11" t="inlineStr">
        <is>
          <t>8</t>
        </is>
      </c>
      <c r="B30" s="12" t="inlineStr">
        <is>
          <t>Create confidence improvement plan targeting design maturity, consents and procurement evidence.</t>
        </is>
      </c>
    </row>
    <row r="31" ht="18" customHeight="1"/>
    <row r="32" ht="18" customHeight="1">
      <c r="A32" s="9" t="inlineStr">
        <is>
          <t>Cost Composition</t>
        </is>
      </c>
    </row>
    <row r="33" ht="26" customHeight="1">
      <c r="A33" s="13" t="inlineStr">
        <is>
          <t>Type</t>
        </is>
      </c>
      <c r="B33" s="13" t="inlineStr">
        <is>
          <t>P50 BN</t>
        </is>
      </c>
    </row>
    <row r="34" ht="18" customHeight="1">
      <c r="A34" s="5" t="inlineStr">
        <is>
          <t>Direct</t>
        </is>
      </c>
      <c r="B34" s="14" t="n">
        <v>11.603</v>
      </c>
    </row>
    <row r="35" ht="18" customHeight="1">
      <c r="A35" s="5" t="inlineStr">
        <is>
          <t>Indirect</t>
        </is>
      </c>
      <c r="B35" s="14" t="n">
        <v>1.953</v>
      </c>
    </row>
    <row r="36" ht="18" customHeight="1">
      <c r="A36" s="5" t="inlineStr">
        <is>
          <t>Reserve</t>
        </is>
      </c>
      <c r="B36" s="14" t="n">
        <v>1.034</v>
      </c>
    </row>
  </sheetData>
  <mergeCells count="33">
    <mergeCell ref="G12:H12"/>
    <mergeCell ref="D10:E10"/>
    <mergeCell ref="J10:K10"/>
    <mergeCell ref="B30:K30"/>
    <mergeCell ref="B24:K24"/>
    <mergeCell ref="A1:K1"/>
    <mergeCell ref="A6:B6"/>
    <mergeCell ref="J9:K9"/>
    <mergeCell ref="D6:E6"/>
    <mergeCell ref="A17:K20"/>
    <mergeCell ref="A7:B7"/>
    <mergeCell ref="G7:H7"/>
    <mergeCell ref="J6:K6"/>
    <mergeCell ref="B26:K26"/>
    <mergeCell ref="D13:E13"/>
    <mergeCell ref="G10:H10"/>
    <mergeCell ref="B25:K25"/>
    <mergeCell ref="G6:H6"/>
    <mergeCell ref="G13:H13"/>
    <mergeCell ref="A12:B12"/>
    <mergeCell ref="D7:E7"/>
    <mergeCell ref="B27:K27"/>
    <mergeCell ref="J7:K7"/>
    <mergeCell ref="A2:K2"/>
    <mergeCell ref="D9:E9"/>
    <mergeCell ref="D12:E12"/>
    <mergeCell ref="B23:K23"/>
    <mergeCell ref="A10:B10"/>
    <mergeCell ref="A13:B13"/>
    <mergeCell ref="B29:K29"/>
    <mergeCell ref="A9:B9"/>
    <mergeCell ref="G9:H9"/>
    <mergeCell ref="B28:K2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8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BASIS OF ESTIMATE AND CONTROL MODEL</t>
        </is>
      </c>
      <c r="B1" s="2" t="n"/>
      <c r="C1" s="2" t="n"/>
      <c r="D1" s="2" t="n"/>
      <c r="E1" s="2" t="n"/>
      <c r="F1" s="2" t="n"/>
      <c r="G1" s="2" t="n"/>
      <c r="H1" s="2" t="n"/>
    </row>
    <row r="2" ht="28" customHeight="1">
      <c r="A2" s="3" t="inlineStr">
        <is>
          <t>Traceability page: no board output should be read without understanding the class, maturity, location, scenario and assumptions.</t>
        </is>
      </c>
      <c r="B2" s="4" t="n"/>
      <c r="C2" s="4" t="n"/>
      <c r="D2" s="4" t="n"/>
      <c r="E2" s="4" t="n"/>
      <c r="F2" s="4" t="n"/>
      <c r="G2" s="4" t="n"/>
      <c r="H2" s="4" t="n"/>
    </row>
    <row r="3" ht="18" customHeight="1"/>
    <row r="4" ht="26" customHeight="1">
      <c r="A4" s="13" t="inlineStr">
        <is>
          <t>Input</t>
        </is>
      </c>
      <c r="B4" s="13" t="inlineStr">
        <is>
          <t>Value</t>
        </is>
      </c>
    </row>
    <row r="5" ht="18" customHeight="1">
      <c r="A5" s="5" t="inlineStr">
        <is>
          <t>Prompt</t>
        </is>
      </c>
      <c r="B5" s="5" t="inlineStr">
        <is>
          <t>Modern airport expansion with terminal, runway, baggage systems and live operations</t>
        </is>
      </c>
    </row>
    <row r="6" ht="18" customHeight="1">
      <c r="A6" s="5" t="inlineStr">
        <is>
          <t>Client</t>
        </is>
      </c>
      <c r="B6" s="5" t="inlineStr">
        <is>
          <t>Airport Owner</t>
        </is>
      </c>
    </row>
    <row r="7" ht="18" customHeight="1">
      <c r="A7" s="5" t="inlineStr">
        <is>
          <t>Mode</t>
        </is>
      </c>
      <c r="B7" s="5" t="inlineStr">
        <is>
          <t>Earth</t>
        </is>
      </c>
    </row>
    <row r="8" ht="18" customHeight="1">
      <c r="A8" s="5" t="inlineStr">
        <is>
          <t>Sector</t>
        </is>
      </c>
      <c r="B8" s="5" t="inlineStr">
        <is>
          <t>Airport / Aviation</t>
        </is>
      </c>
    </row>
    <row r="9" ht="18" customHeight="1">
      <c r="A9" s="5" t="inlineStr">
        <is>
          <t>Location</t>
        </is>
      </c>
      <c r="B9" s="5" t="inlineStr">
        <is>
          <t>Global / Not specified</t>
        </is>
      </c>
    </row>
    <row r="10" ht="18" customHeight="1">
      <c r="A10" s="5" t="inlineStr">
        <is>
          <t>Scale</t>
        </is>
      </c>
      <c r="B10" s="5" t="inlineStr">
        <is>
          <t>Project</t>
        </is>
      </c>
    </row>
    <row r="11" ht="18" customHeight="1">
      <c r="A11" s="5" t="inlineStr">
        <is>
          <t>Estimate class</t>
        </is>
      </c>
      <c r="B11" s="5" t="inlineStr">
        <is>
          <t>Class 3 Budget Authorization</t>
        </is>
      </c>
    </row>
    <row r="12" ht="18" customHeight="1">
      <c r="A12" s="5" t="inlineStr">
        <is>
          <t>Estimate maturity</t>
        </is>
      </c>
      <c r="B12" s="5" t="inlineStr">
        <is>
          <t>10-40% definition maturity</t>
        </is>
      </c>
    </row>
    <row r="13" ht="18" customHeight="1">
      <c r="A13" s="5" t="inlineStr">
        <is>
          <t>Schedule level</t>
        </is>
      </c>
      <c r="B13" s="5" t="n">
        <v>4</v>
      </c>
    </row>
    <row r="14" ht="18" customHeight="1">
      <c r="A14" s="5" t="inlineStr">
        <is>
          <t>Scenario</t>
        </is>
      </c>
      <c r="B14" s="5" t="inlineStr">
        <is>
          <t>Faster</t>
        </is>
      </c>
    </row>
    <row r="15" ht="18" customHeight="1">
      <c r="A15" s="5" t="inlineStr">
        <is>
          <t>Scenario rationale</t>
        </is>
      </c>
      <c r="B15" s="5" t="inlineStr">
        <is>
          <t>Parallel design/procurement, acceleration, premium logistics and higher interface risk.</t>
        </is>
      </c>
    </row>
    <row r="16" ht="18" customHeight="1"/>
    <row r="17" ht="18" customHeight="1"/>
    <row r="18" ht="18" customHeight="1"/>
    <row r="19" ht="18" customHeight="1">
      <c r="A19" s="15" t="inlineStr">
        <is>
          <t>Confidence Explanation</t>
        </is>
      </c>
    </row>
    <row r="20" ht="18" customHeight="1">
      <c r="A20" s="5" t="inlineStr">
        <is>
          <t>•</t>
        </is>
      </c>
      <c r="B20" s="5" t="inlineStr">
        <is>
          <t>Class 3 Budget Authorization: 10-40% definition maturity drives the starting confidence level.</t>
        </is>
      </c>
    </row>
    <row r="21" ht="18" customHeight="1">
      <c r="A21" s="5" t="inlineStr">
        <is>
          <t>•</t>
        </is>
      </c>
      <c r="B21" s="5" t="inlineStr">
        <is>
          <t>Schedule Level 4: more detailed schedule logic improves QSRA traceability.</t>
        </is>
      </c>
    </row>
    <row r="22" ht="18" customHeight="1">
      <c r="A22" s="5" t="inlineStr">
        <is>
          <t>•</t>
        </is>
      </c>
      <c r="B22" s="5" t="inlineStr">
        <is>
          <t>Faster: Parallel design/procurement, acceleration, premium logistics and higher interface risk.</t>
        </is>
      </c>
    </row>
    <row r="23" ht="18" customHeight="1">
      <c r="A23" s="5" t="inlineStr">
        <is>
          <t>•</t>
        </is>
      </c>
      <c r="B23" s="5" t="inlineStr">
        <is>
          <t>Location/space factor: Global / Not specified applies a 1.00 delivery premium.</t>
        </is>
      </c>
    </row>
    <row r="24" ht="18" customHeight="1">
      <c r="A24" s="5" t="inlineStr">
        <is>
          <t>•</t>
        </is>
      </c>
      <c r="B24" s="5" t="inlineStr">
        <is>
          <t>live environment</t>
        </is>
      </c>
    </row>
  </sheetData>
  <mergeCells count="18">
    <mergeCell ref="B22:H22"/>
    <mergeCell ref="B8:H8"/>
    <mergeCell ref="B14:H14"/>
    <mergeCell ref="B9:H9"/>
    <mergeCell ref="B13:H13"/>
    <mergeCell ref="B21:H21"/>
    <mergeCell ref="A2:H2"/>
    <mergeCell ref="B12:H12"/>
    <mergeCell ref="B6:H6"/>
    <mergeCell ref="B24:H24"/>
    <mergeCell ref="B15:H15"/>
    <mergeCell ref="B7:H7"/>
    <mergeCell ref="A1:H1"/>
    <mergeCell ref="B10:H10"/>
    <mergeCell ref="B11:H11"/>
    <mergeCell ref="B5:H5"/>
    <mergeCell ref="B20:H20"/>
    <mergeCell ref="B23:H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45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26" customWidth="1" min="11" max="11"/>
    <col width="55" customWidth="1" min="12" max="12"/>
  </cols>
  <sheetData>
    <row r="1" ht="34" customHeight="1">
      <c r="A1" s="1" t="inlineStr">
        <is>
          <t>SELECTED CLASS COST ESTIMATE - DIRECT / INDIRECT / RESERVE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8" customHeight="1">
      <c r="A2" s="3" t="inlineStr">
        <is>
          <t>Only the selected class estimate is exported. P10 / P50 / P90 and direct / indirect / reserve are visible and auditable.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 ht="18" customHeight="1"/>
    <row r="4" ht="26" customHeight="1">
      <c r="A4" s="13" t="inlineStr">
        <is>
          <t>CBS</t>
        </is>
      </c>
      <c r="B4" s="13" t="inlineStr">
        <is>
          <t>Description</t>
        </is>
      </c>
      <c r="C4" s="13" t="inlineStr">
        <is>
          <t>Type</t>
        </is>
      </c>
      <c r="D4" s="13" t="inlineStr">
        <is>
          <t>Basis</t>
        </is>
      </c>
      <c r="E4" s="13" t="inlineStr">
        <is>
          <t>P10 BN</t>
        </is>
      </c>
      <c r="F4" s="13" t="inlineStr">
        <is>
          <t>P50 BN</t>
        </is>
      </c>
      <c r="G4" s="13" t="inlineStr">
        <is>
          <t>P90 BN</t>
        </is>
      </c>
      <c r="H4" s="13" t="inlineStr">
        <is>
          <t>Min BN</t>
        </is>
      </c>
      <c r="I4" s="13" t="inlineStr">
        <is>
          <t>Most Likely BN</t>
        </is>
      </c>
      <c r="J4" s="13" t="inlineStr">
        <is>
          <t>Max BN</t>
        </is>
      </c>
      <c r="K4" s="13" t="inlineStr">
        <is>
          <t>Scenario Impact</t>
        </is>
      </c>
      <c r="L4" s="13" t="inlineStr">
        <is>
          <t>Evidence / Challenge</t>
        </is>
      </c>
    </row>
    <row r="5" ht="18" customHeight="1">
      <c r="A5" s="16" t="inlineStr">
        <is>
          <t>01.01</t>
        </is>
      </c>
      <c r="B5" s="16" t="inlineStr">
        <is>
          <t>Site Preparation / Enabling</t>
        </is>
      </c>
      <c r="C5" s="16" t="inlineStr">
        <is>
          <t>Direct</t>
        </is>
      </c>
      <c r="D5" s="16" t="inlineStr">
        <is>
          <t>Demolition, enabling, logistics and access</t>
        </is>
      </c>
      <c r="E5" s="17" t="n">
        <v>0.551</v>
      </c>
      <c r="F5" s="17" t="n">
        <v>0.6889999999999999</v>
      </c>
      <c r="G5" s="17" t="n">
        <v>0.896</v>
      </c>
      <c r="H5" s="17" t="n">
        <v>0.551</v>
      </c>
      <c r="I5" s="17" t="n">
        <v>0.6889999999999999</v>
      </c>
      <c r="J5" s="17" t="n">
        <v>0.896</v>
      </c>
      <c r="K5" s="16" t="inlineStr">
        <is>
          <t>Faster</t>
        </is>
      </c>
      <c r="L5" s="16" t="inlineStr">
        <is>
          <t>Site Preparation / Enabling priced as 6.0% of P50 from sector template, location factor 1.00, scale factor 1.00, complexity factor 1.15.</t>
        </is>
      </c>
    </row>
    <row r="6" ht="18" customHeight="1">
      <c r="A6" s="16" t="inlineStr">
        <is>
          <t>01.02</t>
        </is>
      </c>
      <c r="B6" s="16" t="inlineStr">
        <is>
          <t>Substructure / Foundations</t>
        </is>
      </c>
      <c r="C6" s="16" t="inlineStr">
        <is>
          <t>Direct</t>
        </is>
      </c>
      <c r="D6" s="16" t="inlineStr">
        <is>
          <t>Piling, groundworks, retaining and foundations</t>
        </is>
      </c>
      <c r="E6" s="17" t="n">
        <v>0.735</v>
      </c>
      <c r="F6" s="17" t="n">
        <v>0.919</v>
      </c>
      <c r="G6" s="17" t="n">
        <v>1.195</v>
      </c>
      <c r="H6" s="17" t="n">
        <v>0.735</v>
      </c>
      <c r="I6" s="17" t="n">
        <v>0.919</v>
      </c>
      <c r="J6" s="17" t="n">
        <v>1.195</v>
      </c>
      <c r="K6" s="16" t="inlineStr">
        <is>
          <t>Faster</t>
        </is>
      </c>
      <c r="L6" s="16" t="inlineStr">
        <is>
          <t>Substructure / Foundations priced as 8.0% of P50 from sector template, location factor 1.00, scale factor 1.00, complexity factor 1.15.</t>
        </is>
      </c>
    </row>
    <row r="7" ht="18" customHeight="1">
      <c r="A7" s="16" t="inlineStr">
        <is>
          <t>01.03</t>
        </is>
      </c>
      <c r="B7" s="16" t="inlineStr">
        <is>
          <t>Superstructure / Civil Works</t>
        </is>
      </c>
      <c r="C7" s="16" t="inlineStr">
        <is>
          <t>Direct</t>
        </is>
      </c>
      <c r="D7" s="16" t="inlineStr">
        <is>
          <t>Frame, civils, primary structures</t>
        </is>
      </c>
      <c r="E7" s="17" t="n">
        <v>1.287</v>
      </c>
      <c r="F7" s="17" t="n">
        <v>1.608</v>
      </c>
      <c r="G7" s="17" t="n">
        <v>2.091</v>
      </c>
      <c r="H7" s="17" t="n">
        <v>1.287</v>
      </c>
      <c r="I7" s="17" t="n">
        <v>1.608</v>
      </c>
      <c r="J7" s="17" t="n">
        <v>2.091</v>
      </c>
      <c r="K7" s="16" t="inlineStr">
        <is>
          <t>Faster</t>
        </is>
      </c>
      <c r="L7" s="16" t="inlineStr">
        <is>
          <t>Superstructure / Civil Works priced as 14.0% of P50 from sector template, location factor 1.00, scale factor 1.00, complexity factor 1.15.</t>
        </is>
      </c>
    </row>
    <row r="8" ht="18" customHeight="1">
      <c r="A8" s="16" t="inlineStr">
        <is>
          <t>01.04</t>
        </is>
      </c>
      <c r="B8" s="16" t="inlineStr">
        <is>
          <t>MEP / Systems / Utilities</t>
        </is>
      </c>
      <c r="C8" s="16" t="inlineStr">
        <is>
          <t>Direct</t>
        </is>
      </c>
      <c r="D8" s="16" t="inlineStr">
        <is>
          <t>Mechanical, electrical, controls and utilities</t>
        </is>
      </c>
      <c r="E8" s="17" t="n">
        <v>1.287</v>
      </c>
      <c r="F8" s="17" t="n">
        <v>1.608</v>
      </c>
      <c r="G8" s="17" t="n">
        <v>2.091</v>
      </c>
      <c r="H8" s="17" t="n">
        <v>1.287</v>
      </c>
      <c r="I8" s="17" t="n">
        <v>1.608</v>
      </c>
      <c r="J8" s="17" t="n">
        <v>2.091</v>
      </c>
      <c r="K8" s="16" t="inlineStr">
        <is>
          <t>Faster</t>
        </is>
      </c>
      <c r="L8" s="16" t="inlineStr">
        <is>
          <t>MEP / Systems / Utilities priced as 14.0% of P50 from sector template, location factor 1.00, scale factor 1.00, complexity factor 1.15.</t>
        </is>
      </c>
    </row>
    <row r="9" ht="18" customHeight="1">
      <c r="A9" s="16" t="inlineStr">
        <is>
          <t>01.05</t>
        </is>
      </c>
      <c r="B9" s="16" t="inlineStr">
        <is>
          <t>Specialist Equipment / Fit-Out</t>
        </is>
      </c>
      <c r="C9" s="16" t="inlineStr">
        <is>
          <t>Direct</t>
        </is>
      </c>
      <c r="D9" s="16" t="inlineStr">
        <is>
          <t>Permanent equipment and specialist fit-out</t>
        </is>
      </c>
      <c r="E9" s="17" t="n">
        <v>1.103</v>
      </c>
      <c r="F9" s="17" t="n">
        <v>1.379</v>
      </c>
      <c r="G9" s="17" t="n">
        <v>1.792</v>
      </c>
      <c r="H9" s="17" t="n">
        <v>1.103</v>
      </c>
      <c r="I9" s="17" t="n">
        <v>1.379</v>
      </c>
      <c r="J9" s="17" t="n">
        <v>1.792</v>
      </c>
      <c r="K9" s="16" t="inlineStr">
        <is>
          <t>Faster</t>
        </is>
      </c>
      <c r="L9" s="16" t="inlineStr">
        <is>
          <t>Specialist Equipment / Fit-Out priced as 12.0% of P50 from sector template, location factor 1.00, scale factor 1.00, complexity factor 1.15.</t>
        </is>
      </c>
    </row>
    <row r="10" ht="18" customHeight="1">
      <c r="A10" s="16" t="inlineStr">
        <is>
          <t>01.06</t>
        </is>
      </c>
      <c r="B10" s="16" t="inlineStr">
        <is>
          <t>Airfield Works</t>
        </is>
      </c>
      <c r="C10" s="16" t="inlineStr">
        <is>
          <t>Direct</t>
        </is>
      </c>
      <c r="D10" s="16" t="inlineStr">
        <is>
          <t>Runway, taxiway, apron and airfield systems</t>
        </is>
      </c>
      <c r="E10" s="17" t="n">
        <v>1.287</v>
      </c>
      <c r="F10" s="17" t="n">
        <v>1.608</v>
      </c>
      <c r="G10" s="17" t="n">
        <v>2.091</v>
      </c>
      <c r="H10" s="17" t="n">
        <v>1.287</v>
      </c>
      <c r="I10" s="17" t="n">
        <v>1.608</v>
      </c>
      <c r="J10" s="17" t="n">
        <v>2.091</v>
      </c>
      <c r="K10" s="16" t="inlineStr">
        <is>
          <t>Faster</t>
        </is>
      </c>
      <c r="L10" s="16" t="inlineStr">
        <is>
          <t>Airfield Works priced as 14.0% of P50 from sector template, location factor 1.00, scale factor 1.00, complexity factor 1.15.</t>
        </is>
      </c>
    </row>
    <row r="11" ht="18" customHeight="1">
      <c r="A11" s="16" t="inlineStr">
        <is>
          <t>01.07</t>
        </is>
      </c>
      <c r="B11" s="16" t="inlineStr">
        <is>
          <t>Terminal / Passenger Systems</t>
        </is>
      </c>
      <c r="C11" s="16" t="inlineStr">
        <is>
          <t>Direct</t>
        </is>
      </c>
      <c r="D11" s="16" t="inlineStr">
        <is>
          <t>Terminal, baggage, security and passenger systems</t>
        </is>
      </c>
      <c r="E11" s="17" t="n">
        <v>0.919</v>
      </c>
      <c r="F11" s="17" t="n">
        <v>1.149</v>
      </c>
      <c r="G11" s="17" t="n">
        <v>1.494</v>
      </c>
      <c r="H11" s="17" t="n">
        <v>0.919</v>
      </c>
      <c r="I11" s="17" t="n">
        <v>1.149</v>
      </c>
      <c r="J11" s="17" t="n">
        <v>1.494</v>
      </c>
      <c r="K11" s="16" t="inlineStr">
        <is>
          <t>Faster</t>
        </is>
      </c>
      <c r="L11" s="16" t="inlineStr">
        <is>
          <t>Terminal / Passenger Systems priced as 10.0% of P50 from sector template, location factor 1.00, scale factor 1.00, complexity factor 1.15.</t>
        </is>
      </c>
    </row>
    <row r="12" ht="18" customHeight="1">
      <c r="A12" s="16" t="inlineStr">
        <is>
          <t>01.09</t>
        </is>
      </c>
      <c r="B12" s="16" t="inlineStr">
        <is>
          <t>Direct Labour</t>
        </is>
      </c>
      <c r="C12" s="16" t="inlineStr">
        <is>
          <t>Direct</t>
        </is>
      </c>
      <c r="D12" s="16" t="inlineStr">
        <is>
          <t>Productivity, supervision and trade labour</t>
        </is>
      </c>
      <c r="E12" s="17" t="n">
        <v>0.827</v>
      </c>
      <c r="F12" s="17" t="n">
        <v>1.034</v>
      </c>
      <c r="G12" s="17" t="n">
        <v>1.344</v>
      </c>
      <c r="H12" s="17" t="n">
        <v>0.827</v>
      </c>
      <c r="I12" s="17" t="n">
        <v>1.034</v>
      </c>
      <c r="J12" s="17" t="n">
        <v>1.344</v>
      </c>
      <c r="K12" s="16" t="inlineStr">
        <is>
          <t>Faster</t>
        </is>
      </c>
      <c r="L12" s="16" t="inlineStr">
        <is>
          <t>Direct Labour priced as 9.0% of P50 from sector template, location factor 1.00, scale factor 1.00, complexity factor 1.15.</t>
        </is>
      </c>
    </row>
    <row r="13" ht="18" customHeight="1">
      <c r="A13" s="16" t="inlineStr">
        <is>
          <t>01.10</t>
        </is>
      </c>
      <c r="B13" s="16" t="inlineStr">
        <is>
          <t>Direct Materials</t>
        </is>
      </c>
      <c r="C13" s="16" t="inlineStr">
        <is>
          <t>Direct</t>
        </is>
      </c>
      <c r="D13" s="16" t="inlineStr">
        <is>
          <t>Concrete, steel, envelope, MEP materials</t>
        </is>
      </c>
      <c r="E13" s="17" t="n">
        <v>0.919</v>
      </c>
      <c r="F13" s="17" t="n">
        <v>1.149</v>
      </c>
      <c r="G13" s="17" t="n">
        <v>1.494</v>
      </c>
      <c r="H13" s="17" t="n">
        <v>0.919</v>
      </c>
      <c r="I13" s="17" t="n">
        <v>1.149</v>
      </c>
      <c r="J13" s="17" t="n">
        <v>1.494</v>
      </c>
      <c r="K13" s="16" t="inlineStr">
        <is>
          <t>Faster</t>
        </is>
      </c>
      <c r="L13" s="16" t="inlineStr">
        <is>
          <t>Direct Materials priced as 10.0% of P50 from sector template, location factor 1.00, scale factor 1.00, complexity factor 1.15.</t>
        </is>
      </c>
    </row>
    <row r="14" ht="18" customHeight="1">
      <c r="A14" s="16" t="inlineStr">
        <is>
          <t>01.11</t>
        </is>
      </c>
      <c r="B14" s="16" t="inlineStr">
        <is>
          <t>Plant / Equipment</t>
        </is>
      </c>
      <c r="C14" s="16" t="inlineStr">
        <is>
          <t>Direct</t>
        </is>
      </c>
      <c r="D14" s="16" t="inlineStr">
        <is>
          <t>Cranes, heavy plant and site equipment</t>
        </is>
      </c>
      <c r="E14" s="17" t="n">
        <v>0.368</v>
      </c>
      <c r="F14" s="17" t="n">
        <v>0.46</v>
      </c>
      <c r="G14" s="17" t="n">
        <v>0.597</v>
      </c>
      <c r="H14" s="17" t="n">
        <v>0.368</v>
      </c>
      <c r="I14" s="17" t="n">
        <v>0.46</v>
      </c>
      <c r="J14" s="17" t="n">
        <v>0.597</v>
      </c>
      <c r="K14" s="16" t="inlineStr">
        <is>
          <t>Faster</t>
        </is>
      </c>
      <c r="L14" s="16" t="inlineStr">
        <is>
          <t>Plant / Equipment priced as 4.0% of P50 from sector template, location factor 1.00, scale factor 1.00, complexity factor 1.15.</t>
        </is>
      </c>
    </row>
    <row r="15" ht="18" customHeight="1">
      <c r="A15" s="18" t="inlineStr">
        <is>
          <t>02.01</t>
        </is>
      </c>
      <c r="B15" s="18" t="inlineStr">
        <is>
          <t>General Conditions / Prelims</t>
        </is>
      </c>
      <c r="C15" s="18" t="inlineStr">
        <is>
          <t>Indirect</t>
        </is>
      </c>
      <c r="D15" s="18" t="inlineStr">
        <is>
          <t>Site management, safety, offices and temporary services</t>
        </is>
      </c>
      <c r="E15" s="19" t="n">
        <v>0.643</v>
      </c>
      <c r="F15" s="19" t="n">
        <v>0.804</v>
      </c>
      <c r="G15" s="19" t="n">
        <v>1.045</v>
      </c>
      <c r="H15" s="19" t="n">
        <v>0.643</v>
      </c>
      <c r="I15" s="19" t="n">
        <v>0.804</v>
      </c>
      <c r="J15" s="19" t="n">
        <v>1.045</v>
      </c>
      <c r="K15" s="18" t="inlineStr">
        <is>
          <t>Faster</t>
        </is>
      </c>
      <c r="L15" s="18" t="inlineStr">
        <is>
          <t>General Conditions / Prelims priced as 7.0% of P50 from sector template, location factor 1.00, scale factor 1.00, complexity factor 1.15.</t>
        </is>
      </c>
    </row>
    <row r="16" ht="18" customHeight="1">
      <c r="A16" s="18" t="inlineStr">
        <is>
          <t>02.02</t>
        </is>
      </c>
      <c r="B16" s="18" t="inlineStr">
        <is>
          <t>Design / Professional Fees</t>
        </is>
      </c>
      <c r="C16" s="18" t="inlineStr">
        <is>
          <t>Indirect</t>
        </is>
      </c>
      <c r="D16" s="18" t="inlineStr">
        <is>
          <t>Design, QS, controls, assurance and consultants</t>
        </is>
      </c>
      <c r="E16" s="19" t="n">
        <v>0.643</v>
      </c>
      <c r="F16" s="19" t="n">
        <v>0.804</v>
      </c>
      <c r="G16" s="19" t="n">
        <v>1.045</v>
      </c>
      <c r="H16" s="19" t="n">
        <v>0.643</v>
      </c>
      <c r="I16" s="19" t="n">
        <v>0.804</v>
      </c>
      <c r="J16" s="19" t="n">
        <v>1.045</v>
      </c>
      <c r="K16" s="18" t="inlineStr">
        <is>
          <t>Faster</t>
        </is>
      </c>
      <c r="L16" s="18" t="inlineStr">
        <is>
          <t>Design / Professional Fees priced as 7.0% of P50 from sector template, location factor 1.00, scale factor 1.00, complexity factor 1.15.</t>
        </is>
      </c>
    </row>
    <row r="17" ht="18" customHeight="1">
      <c r="A17" s="18" t="inlineStr">
        <is>
          <t>02.03</t>
        </is>
      </c>
      <c r="B17" s="18" t="inlineStr">
        <is>
          <t>Permits / Insurance / Bonds</t>
        </is>
      </c>
      <c r="C17" s="18" t="inlineStr">
        <is>
          <t>Indirect</t>
        </is>
      </c>
      <c r="D17" s="18" t="inlineStr">
        <is>
          <t>Permits, inspections, legal, bonds and insurance</t>
        </is>
      </c>
      <c r="E17" s="19" t="n">
        <v>0.276</v>
      </c>
      <c r="F17" s="19" t="n">
        <v>0.345</v>
      </c>
      <c r="G17" s="19" t="n">
        <v>0.448</v>
      </c>
      <c r="H17" s="19" t="n">
        <v>0.276</v>
      </c>
      <c r="I17" s="19" t="n">
        <v>0.345</v>
      </c>
      <c r="J17" s="19" t="n">
        <v>0.448</v>
      </c>
      <c r="K17" s="18" t="inlineStr">
        <is>
          <t>Faster</t>
        </is>
      </c>
      <c r="L17" s="18" t="inlineStr">
        <is>
          <t>Permits / Insurance / Bonds priced as 3.0% of P50 from sector template, location factor 1.00, scale factor 1.00, complexity factor 1.15.</t>
        </is>
      </c>
    </row>
    <row r="18" ht="18" customHeight="1">
      <c r="A18" s="20" t="inlineStr">
        <is>
          <t>03.01</t>
        </is>
      </c>
      <c r="B18" s="20" t="inlineStr">
        <is>
          <t>QCRA Contingency</t>
        </is>
      </c>
      <c r="C18" s="20" t="inlineStr">
        <is>
          <t>Reserve</t>
        </is>
      </c>
      <c r="D18" s="20" t="inlineStr">
        <is>
          <t>Known-unknown risk allowance</t>
        </is>
      </c>
      <c r="E18" s="21" t="n">
        <v>0.551</v>
      </c>
      <c r="F18" s="21" t="n">
        <v>0.6889999999999999</v>
      </c>
      <c r="G18" s="21" t="n">
        <v>0.896</v>
      </c>
      <c r="H18" s="21" t="n">
        <v>0.551</v>
      </c>
      <c r="I18" s="21" t="n">
        <v>0.6889999999999999</v>
      </c>
      <c r="J18" s="21" t="n">
        <v>0.896</v>
      </c>
      <c r="K18" s="20" t="inlineStr">
        <is>
          <t>Faster</t>
        </is>
      </c>
      <c r="L18" s="20" t="inlineStr">
        <is>
          <t>QCRA Contingency priced as 6.0% of P50 from sector template, location factor 1.00, scale factor 1.00, complexity factor 1.15.</t>
        </is>
      </c>
    </row>
    <row r="19" ht="18" customHeight="1">
      <c r="A19" s="20" t="inlineStr">
        <is>
          <t>03.02</t>
        </is>
      </c>
      <c r="B19" s="20" t="inlineStr">
        <is>
          <t>Management Reserve</t>
        </is>
      </c>
      <c r="C19" s="20" t="inlineStr">
        <is>
          <t>Reserve</t>
        </is>
      </c>
      <c r="D19" s="20" t="inlineStr">
        <is>
          <t>Sponsor-held reserve</t>
        </is>
      </c>
      <c r="E19" s="21" t="n">
        <v>0.276</v>
      </c>
      <c r="F19" s="21" t="n">
        <v>0.345</v>
      </c>
      <c r="G19" s="21" t="n">
        <v>0.448</v>
      </c>
      <c r="H19" s="21" t="n">
        <v>0.276</v>
      </c>
      <c r="I19" s="21" t="n">
        <v>0.345</v>
      </c>
      <c r="J19" s="21" t="n">
        <v>0.448</v>
      </c>
      <c r="K19" s="20" t="inlineStr">
        <is>
          <t>Faster</t>
        </is>
      </c>
      <c r="L19" s="20" t="inlineStr">
        <is>
          <t>Management Reserve priced as 3.0% of P50 from sector template, location factor 1.00, scale factor 1.00, complexity factor 1.15.</t>
        </is>
      </c>
    </row>
    <row r="20" ht="18" customHeight="1"/>
    <row r="21" ht="18" customHeight="1"/>
    <row r="22" ht="26" customHeight="1">
      <c r="A22" s="13" t="inlineStr">
        <is>
          <t>Type</t>
        </is>
      </c>
      <c r="B22" s="13" t="inlineStr">
        <is>
          <t>P50 BN</t>
        </is>
      </c>
      <c r="C22" s="13" t="inlineStr">
        <is>
          <t>Share</t>
        </is>
      </c>
    </row>
    <row r="23" ht="18" customHeight="1">
      <c r="A23" s="5" t="inlineStr">
        <is>
          <t>Direct</t>
        </is>
      </c>
      <c r="B23" s="14" t="n">
        <v>11.603</v>
      </c>
      <c r="C23" s="22">
        <f>B23/SUM(B23:B25)</f>
        <v/>
      </c>
    </row>
    <row r="24" ht="18" customHeight="1">
      <c r="A24" s="5" t="inlineStr">
        <is>
          <t>Indirect</t>
        </is>
      </c>
      <c r="B24" s="14" t="n">
        <v>1.953</v>
      </c>
      <c r="C24" s="22">
        <f>B24/SUM(B23:B25)</f>
        <v/>
      </c>
    </row>
    <row r="25" ht="18" customHeight="1">
      <c r="A25" s="5" t="inlineStr">
        <is>
          <t>Reserve</t>
        </is>
      </c>
      <c r="B25" s="14" t="n">
        <v>1.034</v>
      </c>
      <c r="C25" s="22">
        <f>B25/SUM(B23:B25)</f>
        <v/>
      </c>
    </row>
  </sheetData>
  <mergeCells count="2">
    <mergeCell ref="A2:L2"/>
    <mergeCell ref="A1:L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14" customWidth="1" min="3" max="3"/>
    <col width="16" customWidth="1" min="4" max="4"/>
    <col width="16" customWidth="1" min="5" max="5"/>
    <col width="16" customWidth="1" min="6" max="6"/>
    <col width="38" customWidth="1" min="7" max="7"/>
    <col width="40" customWidth="1" min="8" max="8"/>
  </cols>
  <sheetData>
    <row r="1" ht="34" customHeight="1">
      <c r="A1" s="1" t="inlineStr">
        <is>
          <t>INDIRECTS, CONTINGENCY AND RESERVE ASSURANCE</t>
        </is>
      </c>
      <c r="B1" s="2" t="n"/>
      <c r="C1" s="2" t="n"/>
      <c r="D1" s="2" t="n"/>
      <c r="E1" s="2" t="n"/>
      <c r="F1" s="2" t="n"/>
      <c r="G1" s="2" t="n"/>
      <c r="H1" s="2" t="n"/>
    </row>
    <row r="2" ht="28" customHeight="1">
      <c r="A2" s="3" t="inlineStr">
        <is>
          <t>Separates project delivery cost from sponsor-held uncertainty and contingency.</t>
        </is>
      </c>
      <c r="B2" s="4" t="n"/>
      <c r="C2" s="4" t="n"/>
      <c r="D2" s="4" t="n"/>
      <c r="E2" s="4" t="n"/>
      <c r="F2" s="4" t="n"/>
      <c r="G2" s="4" t="n"/>
      <c r="H2" s="4" t="n"/>
    </row>
    <row r="3" ht="18" customHeight="1"/>
    <row r="4" ht="26" customHeight="1">
      <c r="A4" s="13" t="inlineStr">
        <is>
          <t>CBS</t>
        </is>
      </c>
      <c r="B4" s="13" t="inlineStr">
        <is>
          <t>Description</t>
        </is>
      </c>
      <c r="C4" s="13" t="inlineStr">
        <is>
          <t>Type</t>
        </is>
      </c>
      <c r="D4" s="13" t="inlineStr">
        <is>
          <t>P10 BN</t>
        </is>
      </c>
      <c r="E4" s="13" t="inlineStr">
        <is>
          <t>P50 BN</t>
        </is>
      </c>
      <c r="F4" s="13" t="inlineStr">
        <is>
          <t>P90 BN</t>
        </is>
      </c>
      <c r="G4" s="13" t="inlineStr">
        <is>
          <t>Assurance Question</t>
        </is>
      </c>
      <c r="H4" s="13" t="inlineStr">
        <is>
          <t>Board Treatment</t>
        </is>
      </c>
    </row>
    <row r="5" ht="18" customHeight="1">
      <c r="A5" s="5" t="inlineStr">
        <is>
          <t>02.01</t>
        </is>
      </c>
      <c r="B5" s="5" t="inlineStr">
        <is>
          <t>General Conditions / Prelims</t>
        </is>
      </c>
      <c r="C5" s="5" t="inlineStr">
        <is>
          <t>Indirect</t>
        </is>
      </c>
      <c r="D5" s="23" t="n">
        <v>0.643</v>
      </c>
      <c r="E5" s="23" t="n">
        <v>0.804</v>
      </c>
      <c r="F5" s="23" t="n">
        <v>1.045</v>
      </c>
      <c r="G5" s="5" t="inlineStr">
        <is>
          <t>Is this genuinely indirect/reserve, or hidden direct scope?</t>
        </is>
      </c>
      <c r="H5" s="5" t="inlineStr">
        <is>
          <t>Show separately in board pack; do not bury in headline P50.</t>
        </is>
      </c>
    </row>
    <row r="6" ht="18" customHeight="1">
      <c r="A6" s="5" t="inlineStr">
        <is>
          <t>02.02</t>
        </is>
      </c>
      <c r="B6" s="5" t="inlineStr">
        <is>
          <t>Design / Professional Fees</t>
        </is>
      </c>
      <c r="C6" s="5" t="inlineStr">
        <is>
          <t>Indirect</t>
        </is>
      </c>
      <c r="D6" s="23" t="n">
        <v>0.643</v>
      </c>
      <c r="E6" s="23" t="n">
        <v>0.804</v>
      </c>
      <c r="F6" s="23" t="n">
        <v>1.045</v>
      </c>
      <c r="G6" s="5" t="inlineStr">
        <is>
          <t>Is this genuinely indirect/reserve, or hidden direct scope?</t>
        </is>
      </c>
      <c r="H6" s="5" t="inlineStr">
        <is>
          <t>Show separately in board pack; do not bury in headline P50.</t>
        </is>
      </c>
    </row>
    <row r="7" ht="18" customHeight="1">
      <c r="A7" s="5" t="inlineStr">
        <is>
          <t>02.03</t>
        </is>
      </c>
      <c r="B7" s="5" t="inlineStr">
        <is>
          <t>Permits / Insurance / Bonds</t>
        </is>
      </c>
      <c r="C7" s="5" t="inlineStr">
        <is>
          <t>Indirect</t>
        </is>
      </c>
      <c r="D7" s="23" t="n">
        <v>0.276</v>
      </c>
      <c r="E7" s="23" t="n">
        <v>0.345</v>
      </c>
      <c r="F7" s="23" t="n">
        <v>0.448</v>
      </c>
      <c r="G7" s="5" t="inlineStr">
        <is>
          <t>Is this genuinely indirect/reserve, or hidden direct scope?</t>
        </is>
      </c>
      <c r="H7" s="5" t="inlineStr">
        <is>
          <t>Show separately in board pack; do not bury in headline P50.</t>
        </is>
      </c>
    </row>
    <row r="8" ht="18" customHeight="1">
      <c r="A8" s="5" t="inlineStr">
        <is>
          <t>03.01</t>
        </is>
      </c>
      <c r="B8" s="5" t="inlineStr">
        <is>
          <t>QCRA Contingency</t>
        </is>
      </c>
      <c r="C8" s="5" t="inlineStr">
        <is>
          <t>Reserve</t>
        </is>
      </c>
      <c r="D8" s="23" t="n">
        <v>0.551</v>
      </c>
      <c r="E8" s="23" t="n">
        <v>0.6889999999999999</v>
      </c>
      <c r="F8" s="23" t="n">
        <v>0.896</v>
      </c>
      <c r="G8" s="5" t="inlineStr">
        <is>
          <t>Is this genuinely indirect/reserve, or hidden direct scope?</t>
        </is>
      </c>
      <c r="H8" s="5" t="inlineStr">
        <is>
          <t>Show separately in board pack; do not bury in headline P50.</t>
        </is>
      </c>
    </row>
    <row r="9" ht="18" customHeight="1">
      <c r="A9" s="5" t="inlineStr">
        <is>
          <t>03.02</t>
        </is>
      </c>
      <c r="B9" s="5" t="inlineStr">
        <is>
          <t>Management Reserve</t>
        </is>
      </c>
      <c r="C9" s="5" t="inlineStr">
        <is>
          <t>Reserve</t>
        </is>
      </c>
      <c r="D9" s="23" t="n">
        <v>0.276</v>
      </c>
      <c r="E9" s="23" t="n">
        <v>0.345</v>
      </c>
      <c r="F9" s="23" t="n">
        <v>0.448</v>
      </c>
      <c r="G9" s="5" t="inlineStr">
        <is>
          <t>Is this genuinely indirect/reserve, or hidden direct scope?</t>
        </is>
      </c>
      <c r="H9" s="5" t="inlineStr">
        <is>
          <t>Show separately in board pack; do not bury in headline P50.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  <col width="28" customWidth="1" min="8" max="8"/>
    <col width="18" customWidth="1" min="9" max="9"/>
    <col width="18" customWidth="1" min="10" max="10"/>
  </cols>
  <sheetData>
    <row r="1" ht="34" customHeight="1">
      <c r="A1" s="1" t="inlineStr">
        <is>
          <t>QCRA COST RISK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8" customHeight="1">
      <c r="A2" s="3" t="inlineStr">
        <is>
          <t>Cost curve and separate tornado drivers. QCRA is not mixed with QSRA.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 ht="18" customHeight="1"/>
    <row r="4" ht="26" customHeight="1">
      <c r="A4" s="13" t="inlineStr">
        <is>
          <t>Percentile</t>
        </is>
      </c>
      <c r="B4" s="13" t="inlineStr">
        <is>
          <t>Cost BN</t>
        </is>
      </c>
      <c r="C4" s="13" t="inlineStr">
        <is>
          <t>Schedule Months</t>
        </is>
      </c>
      <c r="D4" s="13" t="inlineStr"/>
      <c r="E4" s="13" t="inlineStr">
        <is>
          <t>Rank</t>
        </is>
      </c>
      <c r="F4" s="13" t="inlineStr">
        <is>
          <t>Driver</t>
        </is>
      </c>
      <c r="G4" s="13" t="inlineStr">
        <is>
          <t>CBS</t>
        </is>
      </c>
      <c r="H4" s="13" t="inlineStr">
        <is>
          <t>Mean BN</t>
        </is>
      </c>
      <c r="I4" s="13" t="inlineStr">
        <is>
          <t>Score</t>
        </is>
      </c>
      <c r="J4" s="13" t="inlineStr">
        <is>
          <t>Board Challenge</t>
        </is>
      </c>
    </row>
    <row r="5" ht="18" customHeight="1">
      <c r="A5" s="5" t="n">
        <v>1</v>
      </c>
      <c r="B5" s="14" t="n">
        <v>12.252</v>
      </c>
      <c r="C5" s="5" t="n">
        <v>85.53</v>
      </c>
      <c r="E5" s="5" t="n">
        <v>1</v>
      </c>
      <c r="F5" s="5" t="inlineStr">
        <is>
          <t>Market escalation</t>
        </is>
      </c>
      <c r="G5" s="5" t="inlineStr">
        <is>
          <t>01.07</t>
        </is>
      </c>
      <c r="H5" s="23" t="n">
        <v>0.735</v>
      </c>
      <c r="I5" s="5" t="n">
        <v>73.51000000000001</v>
      </c>
      <c r="J5" s="5" t="inlineStr">
        <is>
          <t>Request evidence for cost range and owner-retained exposure.</t>
        </is>
      </c>
    </row>
    <row r="6" ht="18" customHeight="1">
      <c r="A6" s="5" t="n">
        <v>5</v>
      </c>
      <c r="B6" s="14" t="n">
        <v>13.28</v>
      </c>
      <c r="C6" s="5" t="n">
        <v>88.44</v>
      </c>
      <c r="E6" s="5" t="n">
        <v>2</v>
      </c>
      <c r="F6" s="5" t="inlineStr">
        <is>
          <t>Operational phasing disruption</t>
        </is>
      </c>
      <c r="G6" s="5" t="inlineStr">
        <is>
          <t>01.04</t>
        </is>
      </c>
      <c r="H6" s="23" t="n">
        <v>0.5669999999999999</v>
      </c>
      <c r="I6" s="5" t="n">
        <v>56.71</v>
      </c>
      <c r="J6" s="5" t="inlineStr">
        <is>
          <t>Request evidence for cost range and owner-retained exposure.</t>
        </is>
      </c>
    </row>
    <row r="7" ht="18" customHeight="1">
      <c r="A7" s="5" t="n">
        <v>10</v>
      </c>
      <c r="B7" s="14" t="n">
        <v>13.901</v>
      </c>
      <c r="C7" s="5" t="n">
        <v>90.20999999999999</v>
      </c>
      <c r="E7" s="5" t="n">
        <v>3</v>
      </c>
      <c r="F7" s="5" t="inlineStr">
        <is>
          <t>Scope growth</t>
        </is>
      </c>
      <c r="G7" s="5" t="inlineStr">
        <is>
          <t>01.06</t>
        </is>
      </c>
      <c r="H7" s="23" t="n">
        <v>0.541</v>
      </c>
      <c r="I7" s="5" t="n">
        <v>54.14</v>
      </c>
      <c r="J7" s="5" t="inlineStr">
        <is>
          <t>Request evidence for cost range and owner-retained exposure.</t>
        </is>
      </c>
    </row>
    <row r="8" ht="18" customHeight="1">
      <c r="A8" s="5" t="n">
        <v>20</v>
      </c>
      <c r="B8" s="14" t="n">
        <v>14.662</v>
      </c>
      <c r="C8" s="5" t="n">
        <v>92.53</v>
      </c>
      <c r="E8" s="5" t="n">
        <v>4</v>
      </c>
      <c r="F8" s="5" t="inlineStr">
        <is>
          <t>Design maturity gap</t>
        </is>
      </c>
      <c r="G8" s="5" t="inlineStr">
        <is>
          <t>01.10</t>
        </is>
      </c>
      <c r="H8" s="23" t="n">
        <v>0.532</v>
      </c>
      <c r="I8" s="5" t="n">
        <v>53.19</v>
      </c>
      <c r="J8" s="5" t="inlineStr">
        <is>
          <t>Request evidence for cost range and owner-retained exposure.</t>
        </is>
      </c>
    </row>
    <row r="9" ht="18" customHeight="1">
      <c r="A9" s="5" t="n">
        <v>30</v>
      </c>
      <c r="B9" s="14" t="n">
        <v>15.226</v>
      </c>
      <c r="C9" s="5" t="n">
        <v>94.15000000000001</v>
      </c>
      <c r="E9" s="5" t="n">
        <v>5</v>
      </c>
      <c r="F9" s="5" t="inlineStr">
        <is>
          <t>Supply chain delay</t>
        </is>
      </c>
      <c r="G9" s="5" t="inlineStr">
        <is>
          <t>01.11</t>
        </is>
      </c>
      <c r="H9" s="23" t="n">
        <v>0.463</v>
      </c>
      <c r="I9" s="5" t="n">
        <v>46.27</v>
      </c>
      <c r="J9" s="5" t="inlineStr">
        <is>
          <t>Request evidence for cost range and owner-retained exposure.</t>
        </is>
      </c>
    </row>
    <row r="10" ht="18" customHeight="1">
      <c r="A10" s="5" t="n">
        <v>40</v>
      </c>
      <c r="B10" s="14" t="n">
        <v>15.735</v>
      </c>
      <c r="C10" s="5" t="n">
        <v>95.64</v>
      </c>
      <c r="E10" s="5" t="n">
        <v>6</v>
      </c>
      <c r="F10" s="5" t="inlineStr">
        <is>
          <t>Productivity underperformance</t>
        </is>
      </c>
      <c r="G10" s="5" t="inlineStr">
        <is>
          <t>02.01</t>
        </is>
      </c>
      <c r="H10" s="23" t="n">
        <v>0.453</v>
      </c>
      <c r="I10" s="5" t="n">
        <v>45.32</v>
      </c>
      <c r="J10" s="5" t="inlineStr">
        <is>
          <t>Request evidence for cost range and owner-retained exposure.</t>
        </is>
      </c>
    </row>
    <row r="11" ht="18" customHeight="1">
      <c r="A11" s="5" t="n">
        <v>50</v>
      </c>
      <c r="B11" s="14" t="n">
        <v>16.226</v>
      </c>
      <c r="C11" s="5" t="n">
        <v>97.09999999999999</v>
      </c>
      <c r="E11" s="5" t="n">
        <v>7</v>
      </c>
      <c r="F11" s="5" t="inlineStr">
        <is>
          <t>Baggage / security systems integration</t>
        </is>
      </c>
      <c r="G11" s="5" t="inlineStr">
        <is>
          <t>01.05</t>
        </is>
      </c>
      <c r="H11" s="23" t="n">
        <v>0.396</v>
      </c>
      <c r="I11" s="5" t="n">
        <v>39.58</v>
      </c>
      <c r="J11" s="5" t="inlineStr">
        <is>
          <t>Request evidence for cost range and owner-retained exposure.</t>
        </is>
      </c>
    </row>
    <row r="12" ht="18" customHeight="1">
      <c r="A12" s="5" t="n">
        <v>60</v>
      </c>
      <c r="B12" s="14" t="n">
        <v>16.73</v>
      </c>
      <c r="C12" s="5" t="n">
        <v>98.59</v>
      </c>
      <c r="E12" s="5" t="n">
        <v>8</v>
      </c>
      <c r="F12" s="5" t="inlineStr">
        <is>
          <t>Interface misalignment</t>
        </is>
      </c>
      <c r="G12" s="5" t="inlineStr">
        <is>
          <t>02.03</t>
        </is>
      </c>
      <c r="H12" s="23" t="n">
        <v>0.372</v>
      </c>
      <c r="I12" s="5" t="n">
        <v>37.2</v>
      </c>
      <c r="J12" s="5" t="inlineStr">
        <is>
          <t>Request evidence for cost range and owner-retained exposure.</t>
        </is>
      </c>
    </row>
    <row r="13" ht="18" customHeight="1">
      <c r="A13" s="5" t="n">
        <v>70</v>
      </c>
      <c r="B13" s="14" t="n">
        <v>17.277</v>
      </c>
      <c r="C13" s="5" t="n">
        <v>100.24</v>
      </c>
      <c r="E13" s="5" t="n">
        <v>9</v>
      </c>
      <c r="F13" s="5" t="inlineStr">
        <is>
          <t>Commissioning delay</t>
        </is>
      </c>
      <c r="G13" s="5" t="inlineStr">
        <is>
          <t>02.02</t>
        </is>
      </c>
      <c r="H13" s="23" t="n">
        <v>0.303</v>
      </c>
      <c r="I13" s="5" t="n">
        <v>30.25</v>
      </c>
      <c r="J13" s="5" t="inlineStr">
        <is>
          <t>Request evidence for cost range and owner-retained exposure.</t>
        </is>
      </c>
    </row>
    <row r="14" ht="18" customHeight="1">
      <c r="A14" s="5" t="n">
        <v>80</v>
      </c>
      <c r="B14" s="14" t="n">
        <v>17.889</v>
      </c>
      <c r="C14" s="5" t="n">
        <v>102.19</v>
      </c>
      <c r="E14" s="5" t="n">
        <v>10</v>
      </c>
      <c r="F14" s="5" t="inlineStr">
        <is>
          <t>Permits / approvals delay</t>
        </is>
      </c>
      <c r="G14" s="5" t="inlineStr">
        <is>
          <t>01.09</t>
        </is>
      </c>
      <c r="H14" s="23" t="n">
        <v>0.217</v>
      </c>
      <c r="I14" s="5" t="n">
        <v>21.67</v>
      </c>
      <c r="J14" s="5" t="inlineStr">
        <is>
          <t>Request evidence for cost range and owner-retained exposure.</t>
        </is>
      </c>
    </row>
    <row r="15" ht="18" customHeight="1">
      <c r="A15" s="5" t="n">
        <v>90</v>
      </c>
      <c r="B15" s="14" t="n">
        <v>18.783</v>
      </c>
      <c r="C15" s="5" t="n">
        <v>104.98</v>
      </c>
    </row>
    <row r="16" ht="18" customHeight="1">
      <c r="A16" s="5" t="n">
        <v>95</v>
      </c>
      <c r="B16" s="14" t="n">
        <v>19.523</v>
      </c>
      <c r="C16" s="5" t="n">
        <v>107.22</v>
      </c>
    </row>
    <row r="17" ht="18" customHeight="1">
      <c r="A17" s="5" t="n">
        <v>99</v>
      </c>
      <c r="B17" s="14" t="n">
        <v>21.003</v>
      </c>
      <c r="C17" s="5" t="n">
        <v>111.34</v>
      </c>
    </row>
  </sheetData>
  <mergeCells count="2">
    <mergeCell ref="A1:J1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32" customWidth="1" min="6" max="6"/>
    <col width="16" customWidth="1" min="7" max="7"/>
    <col width="18" customWidth="1" min="8" max="8"/>
    <col width="18" customWidth="1" min="9" max="9"/>
    <col width="34" customWidth="1" min="10" max="10"/>
  </cols>
  <sheetData>
    <row r="1" ht="34" customHeight="1">
      <c r="A1" s="1" t="inlineStr">
        <is>
          <t>QSRA SCHEDULE RISK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8" customHeight="1">
      <c r="A2" s="3" t="inlineStr">
        <is>
          <t>Schedule curve and separate tornado drivers. QSRA is not mixed with QCRA.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 ht="18" customHeight="1"/>
    <row r="4" ht="26" customHeight="1">
      <c r="A4" s="13" t="inlineStr">
        <is>
          <t>Percentile</t>
        </is>
      </c>
      <c r="B4" s="13" t="inlineStr">
        <is>
          <t>Schedule Months</t>
        </is>
      </c>
      <c r="C4" s="13" t="inlineStr">
        <is>
          <t>Cost BN</t>
        </is>
      </c>
      <c r="D4" s="13" t="inlineStr"/>
      <c r="E4" s="13" t="inlineStr">
        <is>
          <t>Rank</t>
        </is>
      </c>
      <c r="F4" s="13" t="inlineStr">
        <is>
          <t>Driver</t>
        </is>
      </c>
      <c r="G4" s="13" t="inlineStr">
        <is>
          <t>Activity</t>
        </is>
      </c>
      <c r="H4" s="13" t="inlineStr">
        <is>
          <t>Mean Days</t>
        </is>
      </c>
      <c r="I4" s="13" t="inlineStr">
        <is>
          <t>Score</t>
        </is>
      </c>
      <c r="J4" s="13" t="inlineStr">
        <is>
          <t>Recovery / Mitigation Challenge</t>
        </is>
      </c>
    </row>
    <row r="5" ht="18" customHeight="1">
      <c r="A5" s="5" t="n">
        <v>1</v>
      </c>
      <c r="B5" s="5" t="n">
        <v>85.53</v>
      </c>
      <c r="C5" s="14" t="n">
        <v>12.252</v>
      </c>
      <c r="E5" s="5" t="n">
        <v>1</v>
      </c>
      <c r="F5" s="5" t="inlineStr">
        <is>
          <t>Operational phasing disruption</t>
        </is>
      </c>
      <c r="G5" s="5" t="inlineStr">
        <is>
          <t>A1400</t>
        </is>
      </c>
      <c r="H5" s="5" t="n">
        <v>50.9</v>
      </c>
      <c r="I5" s="5" t="n">
        <v>25.47</v>
      </c>
      <c r="J5" s="5" t="inlineStr">
        <is>
          <t>Confirm critical path logic, float erosion and recovery option.</t>
        </is>
      </c>
    </row>
    <row r="6" ht="18" customHeight="1">
      <c r="A6" s="5" t="n">
        <v>5</v>
      </c>
      <c r="B6" s="5" t="n">
        <v>88.44</v>
      </c>
      <c r="C6" s="14" t="n">
        <v>13.28</v>
      </c>
      <c r="E6" s="5" t="n">
        <v>2</v>
      </c>
      <c r="F6" s="5" t="inlineStr">
        <is>
          <t>Permits / approvals delay</t>
        </is>
      </c>
      <c r="G6" s="5" t="inlineStr">
        <is>
          <t>A1800</t>
        </is>
      </c>
      <c r="H6" s="5" t="n">
        <v>45.4</v>
      </c>
      <c r="I6" s="5" t="n">
        <v>22.68</v>
      </c>
      <c r="J6" s="5" t="inlineStr">
        <is>
          <t>Confirm critical path logic, float erosion and recovery option.</t>
        </is>
      </c>
    </row>
    <row r="7" ht="18" customHeight="1">
      <c r="A7" s="5" t="n">
        <v>10</v>
      </c>
      <c r="B7" s="5" t="n">
        <v>90.20999999999999</v>
      </c>
      <c r="C7" s="14" t="n">
        <v>13.901</v>
      </c>
      <c r="E7" s="5" t="n">
        <v>3</v>
      </c>
      <c r="F7" s="5" t="inlineStr">
        <is>
          <t>Scope growth</t>
        </is>
      </c>
      <c r="G7" s="5" t="inlineStr">
        <is>
          <t>A1600</t>
        </is>
      </c>
      <c r="H7" s="5" t="n">
        <v>37</v>
      </c>
      <c r="I7" s="5" t="n">
        <v>18.49</v>
      </c>
      <c r="J7" s="5" t="inlineStr">
        <is>
          <t>Confirm critical path logic, float erosion and recovery option.</t>
        </is>
      </c>
    </row>
    <row r="8" ht="18" customHeight="1">
      <c r="A8" s="5" t="n">
        <v>20</v>
      </c>
      <c r="B8" s="5" t="n">
        <v>92.53</v>
      </c>
      <c r="C8" s="14" t="n">
        <v>14.662</v>
      </c>
      <c r="E8" s="5" t="n">
        <v>4</v>
      </c>
      <c r="F8" s="5" t="inlineStr">
        <is>
          <t>Supply chain delay</t>
        </is>
      </c>
      <c r="G8" s="5" t="inlineStr">
        <is>
          <t>A2000</t>
        </is>
      </c>
      <c r="H8" s="5" t="n">
        <v>33.5</v>
      </c>
      <c r="I8" s="5" t="n">
        <v>16.74</v>
      </c>
      <c r="J8" s="5" t="inlineStr">
        <is>
          <t>Confirm critical path logic, float erosion and recovery option.</t>
        </is>
      </c>
    </row>
    <row r="9" ht="18" customHeight="1">
      <c r="A9" s="5" t="n">
        <v>30</v>
      </c>
      <c r="B9" s="5" t="n">
        <v>94.15000000000001</v>
      </c>
      <c r="C9" s="14" t="n">
        <v>15.226</v>
      </c>
      <c r="E9" s="5" t="n">
        <v>5</v>
      </c>
      <c r="F9" s="5" t="inlineStr">
        <is>
          <t>Productivity underperformance</t>
        </is>
      </c>
      <c r="G9" s="5" t="inlineStr">
        <is>
          <t>A2100</t>
        </is>
      </c>
      <c r="H9" s="5" t="n">
        <v>33.2</v>
      </c>
      <c r="I9" s="5" t="n">
        <v>16.61</v>
      </c>
      <c r="J9" s="5" t="inlineStr">
        <is>
          <t>Confirm critical path logic, float erosion and recovery option.</t>
        </is>
      </c>
    </row>
    <row r="10" ht="18" customHeight="1">
      <c r="A10" s="5" t="n">
        <v>40</v>
      </c>
      <c r="B10" s="5" t="n">
        <v>95.64</v>
      </c>
      <c r="C10" s="14" t="n">
        <v>15.735</v>
      </c>
      <c r="E10" s="5" t="n">
        <v>6</v>
      </c>
      <c r="F10" s="5" t="inlineStr">
        <is>
          <t>Design maturity gap</t>
        </is>
      </c>
      <c r="G10" s="5" t="inlineStr">
        <is>
          <t>A1900</t>
        </is>
      </c>
      <c r="H10" s="5" t="n">
        <v>32.4</v>
      </c>
      <c r="I10" s="5" t="n">
        <v>16.2</v>
      </c>
      <c r="J10" s="5" t="inlineStr">
        <is>
          <t>Confirm critical path logic, float erosion and recovery option.</t>
        </is>
      </c>
    </row>
    <row r="11" ht="18" customHeight="1">
      <c r="A11" s="5" t="n">
        <v>50</v>
      </c>
      <c r="B11" s="5" t="n">
        <v>97.09999999999999</v>
      </c>
      <c r="C11" s="14" t="n">
        <v>16.226</v>
      </c>
      <c r="E11" s="5" t="n">
        <v>7</v>
      </c>
      <c r="F11" s="5" t="inlineStr">
        <is>
          <t>Baggage / security systems integration</t>
        </is>
      </c>
      <c r="G11" s="5" t="inlineStr">
        <is>
          <t>A1500</t>
        </is>
      </c>
      <c r="H11" s="5" t="n">
        <v>30.8</v>
      </c>
      <c r="I11" s="5" t="n">
        <v>15.38</v>
      </c>
      <c r="J11" s="5" t="inlineStr">
        <is>
          <t>Confirm critical path logic, float erosion and recovery option.</t>
        </is>
      </c>
    </row>
    <row r="12" ht="18" customHeight="1">
      <c r="A12" s="5" t="n">
        <v>60</v>
      </c>
      <c r="B12" s="5" t="n">
        <v>98.59</v>
      </c>
      <c r="C12" s="14" t="n">
        <v>16.73</v>
      </c>
      <c r="E12" s="5" t="n">
        <v>8</v>
      </c>
      <c r="F12" s="5" t="inlineStr">
        <is>
          <t>Interface misalignment</t>
        </is>
      </c>
      <c r="G12" s="5" t="inlineStr">
        <is>
          <t>P2000</t>
        </is>
      </c>
      <c r="H12" s="5" t="n">
        <v>23.6</v>
      </c>
      <c r="I12" s="5" t="n">
        <v>11.79</v>
      </c>
      <c r="J12" s="5" t="inlineStr">
        <is>
          <t>Confirm critical path logic, float erosion and recovery option.</t>
        </is>
      </c>
    </row>
    <row r="13" ht="18" customHeight="1">
      <c r="A13" s="5" t="n">
        <v>70</v>
      </c>
      <c r="B13" s="5" t="n">
        <v>100.24</v>
      </c>
      <c r="C13" s="14" t="n">
        <v>17.277</v>
      </c>
      <c r="E13" s="5" t="n">
        <v>9</v>
      </c>
      <c r="F13" s="5" t="inlineStr">
        <is>
          <t>Commissioning delay</t>
        </is>
      </c>
      <c r="G13" s="5" t="inlineStr">
        <is>
          <t>P1000</t>
        </is>
      </c>
      <c r="H13" s="5" t="n">
        <v>22.2</v>
      </c>
      <c r="I13" s="5" t="n">
        <v>11.11</v>
      </c>
      <c r="J13" s="5" t="inlineStr">
        <is>
          <t>Confirm critical path logic, float erosion and recovery option.</t>
        </is>
      </c>
    </row>
    <row r="14" ht="18" customHeight="1">
      <c r="A14" s="5" t="n">
        <v>80</v>
      </c>
      <c r="B14" s="5" t="n">
        <v>102.19</v>
      </c>
      <c r="C14" s="14" t="n">
        <v>17.889</v>
      </c>
      <c r="E14" s="5" t="n">
        <v>10</v>
      </c>
      <c r="F14" s="5" t="inlineStr">
        <is>
          <t>Market escalation</t>
        </is>
      </c>
      <c r="G14" s="5" t="inlineStr">
        <is>
          <t>A1700</t>
        </is>
      </c>
      <c r="H14" s="5" t="n">
        <v>0</v>
      </c>
      <c r="I14" s="5" t="n">
        <v>0</v>
      </c>
      <c r="J14" s="5" t="inlineStr">
        <is>
          <t>Confirm critical path logic, float erosion and recovery option.</t>
        </is>
      </c>
    </row>
    <row r="15" ht="18" customHeight="1">
      <c r="A15" s="5" t="n">
        <v>90</v>
      </c>
      <c r="B15" s="5" t="n">
        <v>104.98</v>
      </c>
      <c r="C15" s="14" t="n">
        <v>18.783</v>
      </c>
    </row>
    <row r="16" ht="18" customHeight="1">
      <c r="A16" s="5" t="n">
        <v>95</v>
      </c>
      <c r="B16" s="5" t="n">
        <v>107.22</v>
      </c>
      <c r="C16" s="14" t="n">
        <v>19.523</v>
      </c>
    </row>
    <row r="17" ht="18" customHeight="1">
      <c r="A17" s="5" t="n">
        <v>99</v>
      </c>
      <c r="B17" s="5" t="n">
        <v>111.34</v>
      </c>
      <c r="C17" s="14" t="n">
        <v>21.003</v>
      </c>
    </row>
  </sheetData>
  <mergeCells count="2">
    <mergeCell ref="A1:J1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36" customWidth="1" min="4" max="4"/>
    <col width="36" customWidth="1" min="5" max="5"/>
    <col width="4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2" customWidth="1" min="12" max="12"/>
    <col width="12" customWidth="1" min="13" max="13"/>
    <col width="12" customWidth="1" min="14" max="14"/>
    <col width="14" customWidth="1" min="15" max="15"/>
    <col width="12" customWidth="1" min="16" max="16"/>
    <col width="10" customWidth="1" min="17" max="17"/>
    <col width="18" customWidth="1" min="18" max="18"/>
    <col width="26" customWidth="1" min="19" max="19"/>
    <col width="44" customWidth="1" min="20" max="20"/>
    <col width="18" customWidth="1" min="21" max="21"/>
    <col width="12" customWidth="1" min="22" max="22"/>
    <col width="12" customWidth="1" min="23" max="23"/>
    <col width="10" customWidth="1" min="24" max="24"/>
  </cols>
  <sheetData>
    <row r="1" ht="34" customHeight="1">
      <c r="A1" s="1" t="inlineStr">
        <is>
          <t>RISK REGISTER PRO - CAUSE / EVENT / IMPACT / RESPONSE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8" customHeight="1">
      <c r="A2" s="3" t="inlineStr">
        <is>
          <t>Board-grade register with quantified cost and schedule exposure, owners and linked WBS/CBS.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3" ht="18" customHeight="1"/>
    <row r="4" ht="26" customHeight="1">
      <c r="A4" s="13" t="inlineStr">
        <is>
          <t>Risk ID</t>
        </is>
      </c>
      <c r="B4" s="13" t="inlineStr">
        <is>
          <t>Category</t>
        </is>
      </c>
      <c r="C4" s="13" t="inlineStr">
        <is>
          <t>Title</t>
        </is>
      </c>
      <c r="D4" s="13" t="inlineStr">
        <is>
          <t>Cause</t>
        </is>
      </c>
      <c r="E4" s="13" t="inlineStr">
        <is>
          <t>Risk Event</t>
        </is>
      </c>
      <c r="F4" s="13" t="inlineStr">
        <is>
          <t>Impact Description</t>
        </is>
      </c>
      <c r="G4" s="13" t="inlineStr">
        <is>
          <t>Probability %</t>
        </is>
      </c>
      <c r="H4" s="13" t="inlineStr">
        <is>
          <t>Cost O BN</t>
        </is>
      </c>
      <c r="I4" s="13" t="inlineStr">
        <is>
          <t>Cost M BN</t>
        </is>
      </c>
      <c r="J4" s="13" t="inlineStr">
        <is>
          <t>Cost P BN</t>
        </is>
      </c>
      <c r="K4" s="13" t="inlineStr">
        <is>
          <t>Cost EMV BN</t>
        </is>
      </c>
      <c r="L4" s="13" t="inlineStr">
        <is>
          <t>Schedule O Days</t>
        </is>
      </c>
      <c r="M4" s="13" t="inlineStr">
        <is>
          <t>Schedule M Days</t>
        </is>
      </c>
      <c r="N4" s="13" t="inlineStr">
        <is>
          <t>Schedule P Days</t>
        </is>
      </c>
      <c r="O4" s="13" t="inlineStr">
        <is>
          <t>Schedule EMV Days</t>
        </is>
      </c>
      <c r="P4" s="13" t="inlineStr">
        <is>
          <t>Activity</t>
        </is>
      </c>
      <c r="Q4" s="13" t="inlineStr">
        <is>
          <t>CBS</t>
        </is>
      </c>
      <c r="R4" s="13" t="inlineStr">
        <is>
          <t>Owner</t>
        </is>
      </c>
      <c r="S4" s="13" t="inlineStr">
        <is>
          <t>Trigger</t>
        </is>
      </c>
      <c r="T4" s="13" t="inlineStr">
        <is>
          <t>Mitigation</t>
        </is>
      </c>
      <c r="U4" s="13" t="inlineStr">
        <is>
          <t>Response Strategy</t>
        </is>
      </c>
      <c r="V4" s="13" t="inlineStr">
        <is>
          <t>Residual</t>
        </is>
      </c>
      <c r="W4" s="13" t="inlineStr">
        <is>
          <t>Status</t>
        </is>
      </c>
      <c r="X4" s="13" t="inlineStr">
        <is>
          <t>Board</t>
        </is>
      </c>
    </row>
    <row r="5" ht="18" customHeight="1">
      <c r="A5" s="16" t="inlineStr">
        <is>
          <t>R-002</t>
        </is>
      </c>
      <c r="B5" s="16" t="inlineStr">
        <is>
          <t>Commercial</t>
        </is>
      </c>
      <c r="C5" s="16" t="inlineStr">
        <is>
          <t>Market escalation</t>
        </is>
      </c>
      <c r="D5" s="16" t="inlineStr">
        <is>
          <t>Supplier market tightness, inflation, FX and long procurement window</t>
        </is>
      </c>
      <c r="E5" s="16" t="inlineStr">
        <is>
          <t>Rates exceed assumed escalation profile</t>
        </is>
      </c>
      <c r="F5" s="16" t="inlineStr">
        <is>
          <t>P50 cost becomes understated; commercial approvals or procurement strategy may need reset</t>
        </is>
      </c>
      <c r="G5" s="16" t="n">
        <v>53</v>
      </c>
      <c r="H5" s="17" t="n">
        <v>0.46</v>
      </c>
      <c r="I5" s="17" t="n">
        <v>1.218</v>
      </c>
      <c r="J5" s="17" t="n">
        <v>2.482</v>
      </c>
      <c r="K5" s="17" t="n">
        <v>0.645</v>
      </c>
      <c r="L5" s="16" t="n">
        <v>0</v>
      </c>
      <c r="M5" s="16" t="n">
        <v>0</v>
      </c>
      <c r="N5" s="16" t="n">
        <v>0</v>
      </c>
      <c r="O5" s="16" t="n">
        <v>0</v>
      </c>
      <c r="P5" s="16" t="inlineStr">
        <is>
          <t>A1700</t>
        </is>
      </c>
      <c r="Q5" s="16" t="inlineStr">
        <is>
          <t>01.07</t>
        </is>
      </c>
      <c r="R5" s="16" t="inlineStr">
        <is>
          <t>Commercial Lead</t>
        </is>
      </c>
      <c r="S5" s="16" t="inlineStr">
        <is>
          <t>Index exceeds allowance by 3%</t>
        </is>
      </c>
      <c r="T5" s="16" t="inlineStr">
        <is>
          <t>Early procurement, index-linked allowances, market testing, FX strategy</t>
        </is>
      </c>
      <c r="U5" s="16" t="inlineStr">
        <is>
          <t>Mitigate</t>
        </is>
      </c>
      <c r="V5" s="16" t="inlineStr">
        <is>
          <t>Medium</t>
        </is>
      </c>
      <c r="W5" s="16" t="inlineStr">
        <is>
          <t>Open</t>
        </is>
      </c>
      <c r="X5" s="16" t="inlineStr">
        <is>
          <t>Yes</t>
        </is>
      </c>
    </row>
    <row r="6" ht="18" customHeight="1">
      <c r="A6" s="16" t="inlineStr">
        <is>
          <t>R-A01</t>
        </is>
      </c>
      <c r="B6" s="16" t="inlineStr">
        <is>
          <t>Operations</t>
        </is>
      </c>
      <c r="C6" s="16" t="inlineStr">
        <is>
          <t>Operational phasing disruption</t>
        </is>
      </c>
      <c r="D6" s="16" t="inlineStr">
        <is>
          <t>Works in or near live airport operations constrain access and sequencing</t>
        </is>
      </c>
      <c r="E6" s="16" t="inlineStr">
        <is>
          <t>Operational restrictions reduce productive windows</t>
        </is>
      </c>
      <c r="F6" s="16" t="inlineStr">
        <is>
          <t>Delay, night-work premiums, stakeholder disruption and ORAT pressure</t>
        </is>
      </c>
      <c r="G6" s="16" t="n">
        <v>49</v>
      </c>
      <c r="H6" s="17" t="n">
        <v>0.287</v>
      </c>
      <c r="I6" s="17" t="n">
        <v>0.974</v>
      </c>
      <c r="J6" s="17" t="n">
        <v>2.233</v>
      </c>
      <c r="K6" s="17" t="n">
        <v>0.477</v>
      </c>
      <c r="L6" s="16" t="n">
        <v>20</v>
      </c>
      <c r="M6" s="16" t="n">
        <v>85</v>
      </c>
      <c r="N6" s="16" t="n">
        <v>205</v>
      </c>
      <c r="O6" s="16" t="n">
        <v>41.6</v>
      </c>
      <c r="P6" s="16" t="inlineStr">
        <is>
          <t>A1400</t>
        </is>
      </c>
      <c r="Q6" s="16" t="inlineStr">
        <is>
          <t>01.04</t>
        </is>
      </c>
      <c r="R6" s="16" t="inlineStr">
        <is>
          <t>ORAT Lead</t>
        </is>
      </c>
      <c r="S6" s="16" t="inlineStr">
        <is>
          <t>Possession windows rejected</t>
        </is>
      </c>
      <c r="T6" s="16" t="inlineStr">
        <is>
          <t>Phasing simulation, possession plan, airport ops integration board</t>
        </is>
      </c>
      <c r="U6" s="16" t="inlineStr">
        <is>
          <t>Mitigate</t>
        </is>
      </c>
      <c r="V6" s="16" t="inlineStr">
        <is>
          <t>Medium</t>
        </is>
      </c>
      <c r="W6" s="16" t="inlineStr">
        <is>
          <t>Open</t>
        </is>
      </c>
      <c r="X6" s="16" t="inlineStr">
        <is>
          <t>Yes</t>
        </is>
      </c>
    </row>
    <row r="7" ht="18" customHeight="1">
      <c r="A7" s="16" t="inlineStr">
        <is>
          <t>R-001</t>
        </is>
      </c>
      <c r="B7" s="16" t="inlineStr">
        <is>
          <t>Scope</t>
        </is>
      </c>
      <c r="C7" s="16" t="inlineStr">
        <is>
          <t>Scope growth</t>
        </is>
      </c>
      <c r="D7" s="16" t="inlineStr">
        <is>
          <t>Ambiguous requirements, immature scope freeze and late stakeholder changes</t>
        </is>
      </c>
      <c r="E7" s="16" t="inlineStr">
        <is>
          <t>Approved scope expands after estimate freeze</t>
        </is>
      </c>
      <c r="F7" s="16" t="inlineStr">
        <is>
          <t>Additional quantities, redesign, rework, procurement churn and board contingency drawdown</t>
        </is>
      </c>
      <c r="G7" s="16" t="n">
        <v>49</v>
      </c>
      <c r="H7" s="17" t="n">
        <v>0.345</v>
      </c>
      <c r="I7" s="17" t="n">
        <v>0.974</v>
      </c>
      <c r="J7" s="17" t="n">
        <v>1.985</v>
      </c>
      <c r="K7" s="17" t="n">
        <v>0.477</v>
      </c>
      <c r="L7" s="16" t="n">
        <v>15</v>
      </c>
      <c r="M7" s="16" t="n">
        <v>55</v>
      </c>
      <c r="N7" s="16" t="n">
        <v>154</v>
      </c>
      <c r="O7" s="16" t="n">
        <v>26.9</v>
      </c>
      <c r="P7" s="16" t="inlineStr">
        <is>
          <t>A1600</t>
        </is>
      </c>
      <c r="Q7" s="16" t="inlineStr">
        <is>
          <t>01.06</t>
        </is>
      </c>
      <c r="R7" s="16" t="inlineStr">
        <is>
          <t>Project Director</t>
        </is>
      </c>
      <c r="S7" s="16" t="inlineStr">
        <is>
          <t>Scope change rate exceeds 2% of package value</t>
        </is>
      </c>
      <c r="T7" s="16" t="inlineStr">
        <is>
          <t>Freeze scope baseline, change board, value gates, client decision log</t>
        </is>
      </c>
      <c r="U7" s="16" t="inlineStr">
        <is>
          <t>Reduce</t>
        </is>
      </c>
      <c r="V7" s="16" t="inlineStr">
        <is>
          <t>Low</t>
        </is>
      </c>
      <c r="W7" s="16" t="inlineStr">
        <is>
          <t>Open</t>
        </is>
      </c>
      <c r="X7" s="16" t="inlineStr">
        <is>
          <t>Yes</t>
        </is>
      </c>
    </row>
    <row r="8" ht="18" customHeight="1">
      <c r="A8" s="16" t="inlineStr">
        <is>
          <t>R-004</t>
        </is>
      </c>
      <c r="B8" s="16" t="inlineStr">
        <is>
          <t>Technical</t>
        </is>
      </c>
      <c r="C8" s="16" t="inlineStr">
        <is>
          <t>Design maturity gap</t>
        </is>
      </c>
      <c r="D8" s="16" t="inlineStr">
        <is>
          <t>Estimate is based on immature design, incomplete surveys or unresolved interfaces</t>
        </is>
      </c>
      <c r="E8" s="16" t="inlineStr">
        <is>
          <t>Design basis changes during detailed design</t>
        </is>
      </c>
      <c r="F8" s="16" t="inlineStr">
        <is>
          <t>Cost growth, quantity movement, rework and schedule resequencing</t>
        </is>
      </c>
      <c r="G8" s="16" t="n">
        <v>44</v>
      </c>
      <c r="H8" s="17" t="n">
        <v>0.345</v>
      </c>
      <c r="I8" s="17" t="n">
        <v>1.096</v>
      </c>
      <c r="J8" s="17" t="n">
        <v>2.233</v>
      </c>
      <c r="K8" s="17" t="n">
        <v>0.482</v>
      </c>
      <c r="L8" s="16" t="n">
        <v>15</v>
      </c>
      <c r="M8" s="16" t="n">
        <v>55</v>
      </c>
      <c r="N8" s="16" t="n">
        <v>154</v>
      </c>
      <c r="O8" s="16" t="n">
        <v>24.2</v>
      </c>
      <c r="P8" s="16" t="inlineStr">
        <is>
          <t>A1900</t>
        </is>
      </c>
      <c r="Q8" s="16" t="inlineStr">
        <is>
          <t>01.10</t>
        </is>
      </c>
      <c r="R8" s="16" t="inlineStr">
        <is>
          <t>Design Manager</t>
        </is>
      </c>
      <c r="S8" s="16" t="inlineStr">
        <is>
          <t>Design deliverables miss maturity gate</t>
        </is>
      </c>
      <c r="T8" s="16" t="inlineStr">
        <is>
          <t>Design maturity gates, independent review, assumption register</t>
        </is>
      </c>
      <c r="U8" s="16" t="inlineStr">
        <is>
          <t>Reduce</t>
        </is>
      </c>
      <c r="V8" s="16" t="inlineStr">
        <is>
          <t>Low</t>
        </is>
      </c>
      <c r="W8" s="16" t="inlineStr">
        <is>
          <t>Open</t>
        </is>
      </c>
      <c r="X8" s="16" t="inlineStr">
        <is>
          <t>Yes</t>
        </is>
      </c>
    </row>
    <row r="9" ht="18" customHeight="1">
      <c r="A9" s="16" t="inlineStr">
        <is>
          <t>R-006</t>
        </is>
      </c>
      <c r="B9" s="16" t="inlineStr">
        <is>
          <t>Delivery</t>
        </is>
      </c>
      <c r="C9" s="16" t="inlineStr">
        <is>
          <t>Productivity underperformance</t>
        </is>
      </c>
      <c r="D9" s="16" t="inlineStr">
        <is>
          <t>Access constraints, poor sequencing, labour scarcity or learning curve</t>
        </is>
      </c>
      <c r="E9" s="16" t="inlineStr">
        <is>
          <t>Actual production rates underperform plan</t>
        </is>
      </c>
      <c r="F9" s="16" t="inlineStr">
        <is>
          <t>Extended duration, increased preliminaries and loss of float</t>
        </is>
      </c>
      <c r="G9" s="16" t="n">
        <v>41</v>
      </c>
      <c r="H9" s="17" t="n">
        <v>0.345</v>
      </c>
      <c r="I9" s="17" t="n">
        <v>0.974</v>
      </c>
      <c r="J9" s="17" t="n">
        <v>1.985</v>
      </c>
      <c r="K9" s="17" t="n">
        <v>0.399</v>
      </c>
      <c r="L9" s="16" t="n">
        <v>15</v>
      </c>
      <c r="M9" s="16" t="n">
        <v>61</v>
      </c>
      <c r="N9" s="16" t="n">
        <v>166</v>
      </c>
      <c r="O9" s="16" t="n">
        <v>25</v>
      </c>
      <c r="P9" s="16" t="inlineStr">
        <is>
          <t>A2100</t>
        </is>
      </c>
      <c r="Q9" s="16" t="inlineStr">
        <is>
          <t>02.01</t>
        </is>
      </c>
      <c r="R9" s="16" t="inlineStr">
        <is>
          <t>Delivery Lead</t>
        </is>
      </c>
      <c r="S9" s="16" t="inlineStr">
        <is>
          <t>SPI/CPI deteriorates for two reporting periods</t>
        </is>
      </c>
      <c r="T9" s="16" t="inlineStr">
        <is>
          <t>Package productivity controls, daily planning, earned value cadence</t>
        </is>
      </c>
      <c r="U9" s="16" t="inlineStr">
        <is>
          <t>Mitigate</t>
        </is>
      </c>
      <c r="V9" s="16" t="inlineStr">
        <is>
          <t>Low</t>
        </is>
      </c>
      <c r="W9" s="16" t="inlineStr">
        <is>
          <t>Open</t>
        </is>
      </c>
      <c r="X9" s="16" t="inlineStr">
        <is>
          <t>Yes</t>
        </is>
      </c>
    </row>
    <row r="10" ht="18" customHeight="1">
      <c r="A10" s="16" t="inlineStr">
        <is>
          <t>R-005</t>
        </is>
      </c>
      <c r="B10" s="16" t="inlineStr">
        <is>
          <t>Procurement</t>
        </is>
      </c>
      <c r="C10" s="16" t="inlineStr">
        <is>
          <t>Supply chain delay</t>
        </is>
      </c>
      <c r="D10" s="16" t="inlineStr">
        <is>
          <t>Long-lead equipment, constrained suppliers or late procurement release</t>
        </is>
      </c>
      <c r="E10" s="16" t="inlineStr">
        <is>
          <t>Supplier promise dates move right</t>
        </is>
      </c>
      <c r="F10" s="16" t="inlineStr">
        <is>
          <t>Delayed installation, critical path movement and acceleration cost</t>
        </is>
      </c>
      <c r="G10" s="16" t="n">
        <v>47</v>
      </c>
      <c r="H10" s="17" t="n">
        <v>0.23</v>
      </c>
      <c r="I10" s="17" t="n">
        <v>0.852</v>
      </c>
      <c r="J10" s="17" t="n">
        <v>1.861</v>
      </c>
      <c r="K10" s="17" t="n">
        <v>0.401</v>
      </c>
      <c r="L10" s="16" t="n">
        <v>10</v>
      </c>
      <c r="M10" s="16" t="n">
        <v>49</v>
      </c>
      <c r="N10" s="16" t="n">
        <v>154</v>
      </c>
      <c r="O10" s="16" t="n">
        <v>23</v>
      </c>
      <c r="P10" s="16" t="inlineStr">
        <is>
          <t>A2000</t>
        </is>
      </c>
      <c r="Q10" s="16" t="inlineStr">
        <is>
          <t>01.11</t>
        </is>
      </c>
      <c r="R10" s="16" t="inlineStr">
        <is>
          <t>Procurement Lead</t>
        </is>
      </c>
      <c r="S10" s="16" t="inlineStr">
        <is>
          <t>Supplier promise date slips</t>
        </is>
      </c>
      <c r="T10" s="16" t="inlineStr">
        <is>
          <t>Alternate suppliers, early orders, expediting, framework options</t>
        </is>
      </c>
      <c r="U10" s="16" t="inlineStr">
        <is>
          <t>Transfer / Mitigate</t>
        </is>
      </c>
      <c r="V10" s="16" t="inlineStr">
        <is>
          <t>Low</t>
        </is>
      </c>
      <c r="W10" s="16" t="inlineStr">
        <is>
          <t>Open</t>
        </is>
      </c>
      <c r="X10" s="16" t="inlineStr">
        <is>
          <t>Yes</t>
        </is>
      </c>
    </row>
    <row r="11" ht="18" customHeight="1">
      <c r="A11" s="16" t="inlineStr">
        <is>
          <t>R-A02</t>
        </is>
      </c>
      <c r="B11" s="16" t="inlineStr">
        <is>
          <t>Systems</t>
        </is>
      </c>
      <c r="C11" s="16" t="inlineStr">
        <is>
          <t>Baggage / security systems integration</t>
        </is>
      </c>
      <c r="D11" s="16" t="inlineStr">
        <is>
          <t>Complex passenger systems integration and vendor interfaces uncertain</t>
        </is>
      </c>
      <c r="E11" s="16" t="inlineStr">
        <is>
          <t>Integrated airport systems do not pass readiness testing</t>
        </is>
      </c>
      <c r="F11" s="16" t="inlineStr">
        <is>
          <t>Commissioning delay, passenger disruption and late operational readiness</t>
        </is>
      </c>
      <c r="G11" s="16" t="n">
        <v>40</v>
      </c>
      <c r="H11" s="17" t="n">
        <v>0.23</v>
      </c>
      <c r="I11" s="17" t="n">
        <v>0.852</v>
      </c>
      <c r="J11" s="17" t="n">
        <v>1.861</v>
      </c>
      <c r="K11" s="17" t="n">
        <v>0.341</v>
      </c>
      <c r="L11" s="16" t="n">
        <v>15</v>
      </c>
      <c r="M11" s="16" t="n">
        <v>61</v>
      </c>
      <c r="N11" s="16" t="n">
        <v>154</v>
      </c>
      <c r="O11" s="16" t="n">
        <v>24.4</v>
      </c>
      <c r="P11" s="16" t="inlineStr">
        <is>
          <t>A1500</t>
        </is>
      </c>
      <c r="Q11" s="16" t="inlineStr">
        <is>
          <t>01.05</t>
        </is>
      </c>
      <c r="R11" s="16" t="inlineStr">
        <is>
          <t>Systems Lead</t>
        </is>
      </c>
      <c r="S11" s="16" t="inlineStr">
        <is>
          <t>FAT/SAT defect trend above threshold</t>
        </is>
      </c>
      <c r="T11" s="16" t="inlineStr">
        <is>
          <t>Factory acceptance testing, integration lab, ORAT dry-runs</t>
        </is>
      </c>
      <c r="U11" s="16" t="inlineStr">
        <is>
          <t>Reduce</t>
        </is>
      </c>
      <c r="V11" s="16" t="inlineStr">
        <is>
          <t>Low</t>
        </is>
      </c>
      <c r="W11" s="16" t="inlineStr">
        <is>
          <t>Open</t>
        </is>
      </c>
      <c r="X11" s="16" t="inlineStr">
        <is>
          <t>Yes</t>
        </is>
      </c>
    </row>
    <row r="12" ht="18" customHeight="1">
      <c r="A12" s="5" t="inlineStr">
        <is>
          <t>R-008</t>
        </is>
      </c>
      <c r="B12" s="5" t="inlineStr">
        <is>
          <t>Integration</t>
        </is>
      </c>
      <c r="C12" s="5" t="inlineStr">
        <is>
          <t>Interface misalignment</t>
        </is>
      </c>
      <c r="D12" s="5" t="inlineStr">
        <is>
          <t>Multiple contractors, unclear interface ownership or late design coordination</t>
        </is>
      </c>
      <c r="E12" s="5" t="inlineStr">
        <is>
          <t>Package interfaces do not align during installation/integration</t>
        </is>
      </c>
      <c r="F12" s="5" t="inlineStr">
        <is>
          <t>Rework, claims, delay and fragmented accountability</t>
        </is>
      </c>
      <c r="G12" s="5" t="n">
        <v>40</v>
      </c>
      <c r="H12" s="23" t="n">
        <v>0.23</v>
      </c>
      <c r="I12" s="23" t="n">
        <v>0.852</v>
      </c>
      <c r="J12" s="23" t="n">
        <v>1.737</v>
      </c>
      <c r="K12" s="23" t="n">
        <v>0.341</v>
      </c>
      <c r="L12" s="5" t="n">
        <v>10</v>
      </c>
      <c r="M12" s="5" t="n">
        <v>43</v>
      </c>
      <c r="N12" s="5" t="n">
        <v>128</v>
      </c>
      <c r="O12" s="5" t="n">
        <v>17.2</v>
      </c>
      <c r="P12" s="5" t="inlineStr">
        <is>
          <t>P2000</t>
        </is>
      </c>
      <c r="Q12" s="5" t="inlineStr">
        <is>
          <t>02.03</t>
        </is>
      </c>
      <c r="R12" s="5" t="inlineStr">
        <is>
          <t>Integration Manager</t>
        </is>
      </c>
      <c r="S12" s="5" t="inlineStr">
        <is>
          <t>Interface actions overdue</t>
        </is>
      </c>
      <c r="T12" s="5" t="inlineStr">
        <is>
          <t>Interface control documents, weekly interface board, accountable owners</t>
        </is>
      </c>
      <c r="U12" s="5" t="inlineStr">
        <is>
          <t>Mitigate</t>
        </is>
      </c>
      <c r="V12" s="5" t="inlineStr">
        <is>
          <t>Low</t>
        </is>
      </c>
      <c r="W12" s="5" t="inlineStr">
        <is>
          <t>Open</t>
        </is>
      </c>
      <c r="X12" s="5" t="inlineStr">
        <is>
          <t>No</t>
        </is>
      </c>
    </row>
    <row r="13" ht="18" customHeight="1">
      <c r="A13" s="5" t="inlineStr">
        <is>
          <t>R-007</t>
        </is>
      </c>
      <c r="B13" s="5" t="inlineStr">
        <is>
          <t>Handover</t>
        </is>
      </c>
      <c r="C13" s="5" t="inlineStr">
        <is>
          <t>Commissioning delay</t>
        </is>
      </c>
      <c r="D13" s="5" t="inlineStr">
        <is>
          <t>Incomplete readiness, software integration issues or defects during testing</t>
        </is>
      </c>
      <c r="E13" s="5" t="inlineStr">
        <is>
          <t>Systems fail tests or require repeated commissioning cycles</t>
        </is>
      </c>
      <c r="F13" s="5" t="inlineStr">
        <is>
          <t>Delayed handover, operational readiness slippage and liquidated damages exposure</t>
        </is>
      </c>
      <c r="G13" s="5" t="n">
        <v>37</v>
      </c>
      <c r="H13" s="23" t="n">
        <v>0.23</v>
      </c>
      <c r="I13" s="23" t="n">
        <v>0.731</v>
      </c>
      <c r="J13" s="23" t="n">
        <v>1.489</v>
      </c>
      <c r="K13" s="23" t="n">
        <v>0.27</v>
      </c>
      <c r="L13" s="5" t="n">
        <v>10</v>
      </c>
      <c r="M13" s="5" t="n">
        <v>43</v>
      </c>
      <c r="N13" s="5" t="n">
        <v>128</v>
      </c>
      <c r="O13" s="5" t="n">
        <v>15.9</v>
      </c>
      <c r="P13" s="5" t="inlineStr">
        <is>
          <t>P1000</t>
        </is>
      </c>
      <c r="Q13" s="5" t="inlineStr">
        <is>
          <t>02.02</t>
        </is>
      </c>
      <c r="R13" s="5" t="inlineStr">
        <is>
          <t>Commissioning Lead</t>
        </is>
      </c>
      <c r="S13" s="5" t="inlineStr">
        <is>
          <t>Test failures trend upward</t>
        </is>
      </c>
      <c r="T13" s="5" t="inlineStr">
        <is>
          <t>Commissioning readiness plan, early test packs, digital systems integration</t>
        </is>
      </c>
      <c r="U13" s="5" t="inlineStr">
        <is>
          <t>Reduce</t>
        </is>
      </c>
      <c r="V13" s="5" t="inlineStr">
        <is>
          <t>Low</t>
        </is>
      </c>
      <c r="W13" s="5" t="inlineStr">
        <is>
          <t>Open</t>
        </is>
      </c>
      <c r="X13" s="5" t="inlineStr">
        <is>
          <t>No</t>
        </is>
      </c>
    </row>
    <row r="14" ht="18" customHeight="1">
      <c r="A14" s="16" t="inlineStr">
        <is>
          <t>R-003</t>
        </is>
      </c>
      <c r="B14" s="16" t="inlineStr">
        <is>
          <t>Regulatory</t>
        </is>
      </c>
      <c r="C14" s="16" t="inlineStr">
        <is>
          <t>Permits / approvals delay</t>
        </is>
      </c>
      <c r="D14" s="16" t="inlineStr">
        <is>
          <t>Authority process, stakeholder objections or incomplete submissions</t>
        </is>
      </c>
      <c r="E14" s="16" t="inlineStr">
        <is>
          <t>Consent milestone slips beyond baseline</t>
        </is>
      </c>
      <c r="F14" s="16" t="inlineStr">
        <is>
          <t>Critical path delay, extended preliminaries and potential redesign conditions</t>
        </is>
      </c>
      <c r="G14" s="16" t="n">
        <v>41</v>
      </c>
      <c r="H14" s="17" t="n">
        <v>0.115</v>
      </c>
      <c r="I14" s="17" t="n">
        <v>0.487</v>
      </c>
      <c r="J14" s="17" t="n">
        <v>0.993</v>
      </c>
      <c r="K14" s="17" t="n">
        <v>0.2</v>
      </c>
      <c r="L14" s="16" t="n">
        <v>20</v>
      </c>
      <c r="M14" s="16" t="n">
        <v>85</v>
      </c>
      <c r="N14" s="16" t="n">
        <v>230</v>
      </c>
      <c r="O14" s="16" t="n">
        <v>34.9</v>
      </c>
      <c r="P14" s="16" t="inlineStr">
        <is>
          <t>A1800</t>
        </is>
      </c>
      <c r="Q14" s="16" t="inlineStr">
        <is>
          <t>01.09</t>
        </is>
      </c>
      <c r="R14" s="16" t="inlineStr">
        <is>
          <t>Consents Lead</t>
        </is>
      </c>
      <c r="S14" s="16" t="inlineStr">
        <is>
          <t>Consent milestone slips by 30 days</t>
        </is>
      </c>
      <c r="T14" s="16" t="inlineStr">
        <is>
          <t>Authority plan, consent tracker, early submissions, stakeholder map</t>
        </is>
      </c>
      <c r="U14" s="16" t="inlineStr">
        <is>
          <t>Mitigate</t>
        </is>
      </c>
      <c r="V14" s="16" t="inlineStr">
        <is>
          <t>Low</t>
        </is>
      </c>
      <c r="W14" s="16" t="inlineStr">
        <is>
          <t>Open</t>
        </is>
      </c>
      <c r="X14" s="16" t="inlineStr">
        <is>
          <t>Yes</t>
        </is>
      </c>
    </row>
  </sheetData>
  <mergeCells count="2">
    <mergeCell ref="A2:R2"/>
    <mergeCell ref="A1:R1"/>
  </mergeCells>
  <conditionalFormatting sqref="G5:G14">
    <cfRule type="colorScale" priority="1">
      <colorScale>
        <cfvo type="min"/>
        <cfvo type="percentile" val="50"/>
        <cfvo type="max"/>
        <color rgb="007CFFB2"/>
        <color rgb="00FFD166"/>
        <color rgb="00FF5C7A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2" customWidth="1" min="3" max="3"/>
    <col width="22" customWidth="1" min="4" max="4"/>
    <col width="12" customWidth="1" min="5" max="5"/>
    <col width="12" customWidth="1" min="6" max="6"/>
    <col width="55" customWidth="1" min="7" max="7"/>
    <col width="12" customWidth="1" min="8" max="8"/>
  </cols>
  <sheetData>
    <row r="1" ht="34" customHeight="1">
      <c r="A1" s="1" t="inlineStr">
        <is>
          <t>SCHEDULE LOGIC - LEVEL SELECTED</t>
        </is>
      </c>
      <c r="B1" s="2" t="n"/>
      <c r="C1" s="2" t="n"/>
      <c r="D1" s="2" t="n"/>
      <c r="E1" s="2" t="n"/>
      <c r="F1" s="2" t="n"/>
      <c r="G1" s="2" t="n"/>
      <c r="H1" s="2" t="n"/>
    </row>
    <row r="2" ht="28" customHeight="1">
      <c r="A2" s="3" t="inlineStr">
        <is>
          <t>Linked schedule activities for QSRA and export to P6/XER.</t>
        </is>
      </c>
      <c r="B2" s="4" t="n"/>
      <c r="C2" s="4" t="n"/>
      <c r="D2" s="4" t="n"/>
      <c r="E2" s="4" t="n"/>
      <c r="F2" s="4" t="n"/>
      <c r="G2" s="4" t="n"/>
      <c r="H2" s="4" t="n"/>
    </row>
    <row r="3" ht="18" customHeight="1"/>
    <row r="4" ht="26" customHeight="1">
      <c r="A4" s="13" t="inlineStr">
        <is>
          <t>Activity ID</t>
        </is>
      </c>
      <c r="B4" s="13" t="inlineStr">
        <is>
          <t>Phase</t>
        </is>
      </c>
      <c r="C4" s="13" t="inlineStr">
        <is>
          <t>Activity</t>
        </is>
      </c>
      <c r="D4" s="13" t="inlineStr">
        <is>
          <t>Predecessor</t>
        </is>
      </c>
      <c r="E4" s="13" t="inlineStr">
        <is>
          <t>Duration Months</t>
        </is>
      </c>
      <c r="F4" s="13" t="inlineStr">
        <is>
          <t>Critical</t>
        </is>
      </c>
      <c r="G4" s="13" t="inlineStr">
        <is>
          <t>Basis</t>
        </is>
      </c>
      <c r="H4" s="13" t="inlineStr">
        <is>
          <t>Risk Links</t>
        </is>
      </c>
    </row>
    <row r="5" ht="18" customHeight="1">
      <c r="A5" s="5" t="inlineStr">
        <is>
          <t>A1000</t>
        </is>
      </c>
      <c r="B5" s="5" t="inlineStr">
        <is>
          <t>Governance</t>
        </is>
      </c>
      <c r="C5" s="5" t="inlineStr">
        <is>
          <t>Project initiation / controls setup</t>
        </is>
      </c>
      <c r="D5" s="5" t="inlineStr"/>
      <c r="E5" s="5" t="n">
        <v>3</v>
      </c>
      <c r="F5" s="5" t="inlineStr">
        <is>
          <t>No</t>
        </is>
      </c>
      <c r="G5" s="5" t="inlineStr">
        <is>
          <t>Duration derived from sector schedule model, selected schedule level and scenario compression/buffer logic.</t>
        </is>
      </c>
      <c r="H5" s="5" t="inlineStr"/>
    </row>
    <row r="6" ht="18" customHeight="1">
      <c r="A6" s="5" t="inlineStr">
        <is>
          <t>A1100</t>
        </is>
      </c>
      <c r="B6" s="5" t="inlineStr">
        <is>
          <t>Business Case</t>
        </is>
      </c>
      <c r="C6" s="5" t="inlineStr">
        <is>
          <t>Strategic brief, funding and approval</t>
        </is>
      </c>
      <c r="D6" s="5" t="inlineStr">
        <is>
          <t>A1000</t>
        </is>
      </c>
      <c r="E6" s="5" t="n">
        <v>4</v>
      </c>
      <c r="F6" s="5" t="inlineStr">
        <is>
          <t>No</t>
        </is>
      </c>
      <c r="G6" s="5" t="inlineStr">
        <is>
          <t>Duration derived from sector schedule model, selected schedule level and scenario compression/buffer logic.</t>
        </is>
      </c>
      <c r="H6" s="5" t="inlineStr"/>
    </row>
    <row r="7" ht="18" customHeight="1">
      <c r="A7" s="5" t="inlineStr">
        <is>
          <t>A1200</t>
        </is>
      </c>
      <c r="B7" s="5" t="inlineStr">
        <is>
          <t>Scope</t>
        </is>
      </c>
      <c r="C7" s="5" t="inlineStr">
        <is>
          <t>Requirements definition and scope freeze</t>
        </is>
      </c>
      <c r="D7" s="5" t="inlineStr">
        <is>
          <t>A1100</t>
        </is>
      </c>
      <c r="E7" s="5" t="n">
        <v>4</v>
      </c>
      <c r="F7" s="5" t="inlineStr">
        <is>
          <t>No</t>
        </is>
      </c>
      <c r="G7" s="5" t="inlineStr">
        <is>
          <t>Duration derived from sector schedule model, selected schedule level and scenario compression/buffer logic.</t>
        </is>
      </c>
      <c r="H7" s="5" t="inlineStr"/>
    </row>
    <row r="8" ht="18" customHeight="1">
      <c r="A8" s="5" t="inlineStr">
        <is>
          <t>A1300</t>
        </is>
      </c>
      <c r="B8" s="5" t="inlineStr">
        <is>
          <t>Design</t>
        </is>
      </c>
      <c r="C8" s="5" t="inlineStr">
        <is>
          <t>Concept / reference architecture</t>
        </is>
      </c>
      <c r="D8" s="5" t="inlineStr">
        <is>
          <t>A1200</t>
        </is>
      </c>
      <c r="E8" s="5" t="n">
        <v>7</v>
      </c>
      <c r="F8" s="5" t="inlineStr">
        <is>
          <t>No</t>
        </is>
      </c>
      <c r="G8" s="5" t="inlineStr">
        <is>
          <t>Duration derived from sector schedule model, selected schedule level and scenario compression/buffer logic.</t>
        </is>
      </c>
      <c r="H8" s="5" t="inlineStr"/>
    </row>
    <row r="9" ht="18" customHeight="1">
      <c r="A9" s="20" t="inlineStr">
        <is>
          <t>A1400</t>
        </is>
      </c>
      <c r="B9" s="20" t="inlineStr">
        <is>
          <t>Consents</t>
        </is>
      </c>
      <c r="C9" s="20" t="inlineStr">
        <is>
          <t>Planning, regulatory and stakeholder approvals</t>
        </is>
      </c>
      <c r="D9" s="20" t="inlineStr">
        <is>
          <t>A1200</t>
        </is>
      </c>
      <c r="E9" s="20" t="n">
        <v>8</v>
      </c>
      <c r="F9" s="20" t="inlineStr">
        <is>
          <t>Yes</t>
        </is>
      </c>
      <c r="G9" s="20" t="inlineStr">
        <is>
          <t>Duration derived from sector schedule model, selected schedule level and scenario compression/buffer logic.</t>
        </is>
      </c>
      <c r="H9" s="20" t="inlineStr">
        <is>
          <t>R-A01</t>
        </is>
      </c>
    </row>
    <row r="10" ht="18" customHeight="1">
      <c r="A10" s="5" t="inlineStr">
        <is>
          <t>A1500</t>
        </is>
      </c>
      <c r="B10" s="5" t="inlineStr">
        <is>
          <t>Procurement</t>
        </is>
      </c>
      <c r="C10" s="5" t="inlineStr">
        <is>
          <t>Procurement strategy and tender packaging</t>
        </is>
      </c>
      <c r="D10" s="5" t="inlineStr">
        <is>
          <t>A1300</t>
        </is>
      </c>
      <c r="E10" s="5" t="n">
        <v>5</v>
      </c>
      <c r="F10" s="5" t="inlineStr">
        <is>
          <t>No</t>
        </is>
      </c>
      <c r="G10" s="5" t="inlineStr">
        <is>
          <t>Duration derived from sector schedule model, selected schedule level and scenario compression/buffer logic.</t>
        </is>
      </c>
      <c r="H10" s="5" t="inlineStr">
        <is>
          <t>R-A02</t>
        </is>
      </c>
    </row>
    <row r="11" ht="18" customHeight="1">
      <c r="A11" s="5" t="inlineStr">
        <is>
          <t>A1600</t>
        </is>
      </c>
      <c r="B11" s="5" t="inlineStr">
        <is>
          <t>Design</t>
        </is>
      </c>
      <c r="C11" s="5" t="inlineStr">
        <is>
          <t>Detailed design / IFC development</t>
        </is>
      </c>
      <c r="D11" s="5" t="inlineStr">
        <is>
          <t>A1300</t>
        </is>
      </c>
      <c r="E11" s="5" t="n">
        <v>8</v>
      </c>
      <c r="F11" s="5" t="inlineStr">
        <is>
          <t>No</t>
        </is>
      </c>
      <c r="G11" s="5" t="inlineStr">
        <is>
          <t>Duration derived from sector schedule model, selected schedule level and scenario compression/buffer logic.</t>
        </is>
      </c>
      <c r="H11" s="5" t="inlineStr">
        <is>
          <t>R-001</t>
        </is>
      </c>
    </row>
    <row r="12" ht="18" customHeight="1">
      <c r="A12" s="20" t="inlineStr">
        <is>
          <t>A1700</t>
        </is>
      </c>
      <c r="B12" s="20" t="inlineStr">
        <is>
          <t>Procurement</t>
        </is>
      </c>
      <c r="C12" s="20" t="inlineStr">
        <is>
          <t>Long-lead procurement</t>
        </is>
      </c>
      <c r="D12" s="20" t="inlineStr">
        <is>
          <t>A1500</t>
        </is>
      </c>
      <c r="E12" s="20" t="n">
        <v>8</v>
      </c>
      <c r="F12" s="20" t="inlineStr">
        <is>
          <t>Yes</t>
        </is>
      </c>
      <c r="G12" s="20" t="inlineStr">
        <is>
          <t>Duration derived from sector schedule model, selected schedule level and scenario compression/buffer logic.</t>
        </is>
      </c>
      <c r="H12" s="20" t="inlineStr">
        <is>
          <t>R-002</t>
        </is>
      </c>
    </row>
    <row r="13" ht="18" customHeight="1">
      <c r="A13" s="5" t="inlineStr">
        <is>
          <t>A1800</t>
        </is>
      </c>
      <c r="B13" s="5" t="inlineStr">
        <is>
          <t>Enabling</t>
        </is>
      </c>
      <c r="C13" s="5" t="inlineStr">
        <is>
          <t>Site / launch integration readiness</t>
        </is>
      </c>
      <c r="D13" s="5" t="inlineStr">
        <is>
          <t>A1400;A1500</t>
        </is>
      </c>
      <c r="E13" s="5" t="n">
        <v>6</v>
      </c>
      <c r="F13" s="5" t="inlineStr">
        <is>
          <t>No</t>
        </is>
      </c>
      <c r="G13" s="5" t="inlineStr">
        <is>
          <t>Duration derived from sector schedule model, selected schedule level and scenario compression/buffer logic.</t>
        </is>
      </c>
      <c r="H13" s="5" t="inlineStr">
        <is>
          <t>R-003</t>
        </is>
      </c>
    </row>
    <row r="14" ht="18" customHeight="1">
      <c r="A14" s="20" t="inlineStr">
        <is>
          <t>A1900</t>
        </is>
      </c>
      <c r="B14" s="20" t="inlineStr">
        <is>
          <t>Delivery</t>
        </is>
      </c>
      <c r="C14" s="20" t="inlineStr">
        <is>
          <t>Main construction / fabrication / assembly</t>
        </is>
      </c>
      <c r="D14" s="20" t="inlineStr">
        <is>
          <t>A1600;A1700;A1800</t>
        </is>
      </c>
      <c r="E14" s="20" t="n">
        <v>19</v>
      </c>
      <c r="F14" s="20" t="inlineStr">
        <is>
          <t>Yes</t>
        </is>
      </c>
      <c r="G14" s="20" t="inlineStr">
        <is>
          <t>Duration derived from sector schedule model, selected schedule level and scenario compression/buffer logic.</t>
        </is>
      </c>
      <c r="H14" s="20" t="inlineStr">
        <is>
          <t>R-004</t>
        </is>
      </c>
    </row>
    <row r="15" ht="18" customHeight="1">
      <c r="A15" s="20" t="inlineStr">
        <is>
          <t>A2000</t>
        </is>
      </c>
      <c r="B15" s="20" t="inlineStr">
        <is>
          <t>Integration</t>
        </is>
      </c>
      <c r="C15" s="20" t="inlineStr">
        <is>
          <t>Systems integration and testing</t>
        </is>
      </c>
      <c r="D15" s="20" t="inlineStr">
        <is>
          <t>A1900</t>
        </is>
      </c>
      <c r="E15" s="20" t="n">
        <v>8</v>
      </c>
      <c r="F15" s="20" t="inlineStr">
        <is>
          <t>Yes</t>
        </is>
      </c>
      <c r="G15" s="20" t="inlineStr">
        <is>
          <t>Duration derived from sector schedule model, selected schedule level and scenario compression/buffer logic.</t>
        </is>
      </c>
      <c r="H15" s="20" t="inlineStr">
        <is>
          <t>R-005</t>
        </is>
      </c>
    </row>
    <row r="16" ht="18" customHeight="1">
      <c r="A16" s="20" t="inlineStr">
        <is>
          <t>A2100</t>
        </is>
      </c>
      <c r="B16" s="20" t="inlineStr">
        <is>
          <t>Handover</t>
        </is>
      </c>
      <c r="C16" s="20" t="inlineStr">
        <is>
          <t>Commissioning, operations readiness and closeout</t>
        </is>
      </c>
      <c r="D16" s="20" t="inlineStr">
        <is>
          <t>A2000</t>
        </is>
      </c>
      <c r="E16" s="20" t="n">
        <v>5</v>
      </c>
      <c r="F16" s="20" t="inlineStr">
        <is>
          <t>Yes</t>
        </is>
      </c>
      <c r="G16" s="20" t="inlineStr">
        <is>
          <t>Duration derived from sector schedule model, selected schedule level and scenario compression/buffer logic.</t>
        </is>
      </c>
      <c r="H16" s="20" t="inlineStr">
        <is>
          <t>R-006</t>
        </is>
      </c>
    </row>
    <row r="17" ht="18" customHeight="1">
      <c r="A17" s="20" t="inlineStr">
        <is>
          <t>P1000</t>
        </is>
      </c>
      <c r="B17" s="20" t="inlineStr">
        <is>
          <t>Package</t>
        </is>
      </c>
      <c r="C17" s="20" t="inlineStr">
        <is>
          <t>Airfield works</t>
        </is>
      </c>
      <c r="D17" s="20" t="inlineStr">
        <is>
          <t>A1900</t>
        </is>
      </c>
      <c r="E17" s="20" t="n">
        <v>3</v>
      </c>
      <c r="F17" s="20" t="inlineStr">
        <is>
          <t>Yes</t>
        </is>
      </c>
      <c r="G17" s="20" t="inlineStr">
        <is>
          <t>Duration derived from sector schedule model, selected schedule level and scenario compression/buffer logic.</t>
        </is>
      </c>
      <c r="H17" s="20" t="inlineStr">
        <is>
          <t>R-007</t>
        </is>
      </c>
    </row>
    <row r="18" ht="18" customHeight="1">
      <c r="A18" s="20" t="inlineStr">
        <is>
          <t>P2000</t>
        </is>
      </c>
      <c r="B18" s="20" t="inlineStr">
        <is>
          <t>Package</t>
        </is>
      </c>
      <c r="C18" s="20" t="inlineStr">
        <is>
          <t>Terminal systems</t>
        </is>
      </c>
      <c r="D18" s="20" t="inlineStr">
        <is>
          <t>P1000</t>
        </is>
      </c>
      <c r="E18" s="20" t="n">
        <v>3</v>
      </c>
      <c r="F18" s="20" t="inlineStr">
        <is>
          <t>Yes</t>
        </is>
      </c>
      <c r="G18" s="20" t="inlineStr">
        <is>
          <t>Duration derived from sector schedule model, selected schedule level and scenario compression/buffer logic.</t>
        </is>
      </c>
      <c r="H18" s="20" t="inlineStr">
        <is>
          <t>R-008</t>
        </is>
      </c>
    </row>
    <row r="19" ht="18" customHeight="1">
      <c r="A19" s="20" t="inlineStr">
        <is>
          <t>P3000</t>
        </is>
      </c>
      <c r="B19" s="20" t="inlineStr">
        <is>
          <t>Package</t>
        </is>
      </c>
      <c r="C19" s="20" t="inlineStr">
        <is>
          <t>Baggage/security systems</t>
        </is>
      </c>
      <c r="D19" s="20" t="inlineStr">
        <is>
          <t>P2000</t>
        </is>
      </c>
      <c r="E19" s="20" t="n">
        <v>3</v>
      </c>
      <c r="F19" s="20" t="inlineStr">
        <is>
          <t>Yes</t>
        </is>
      </c>
      <c r="G19" s="20" t="inlineStr">
        <is>
          <t>Duration derived from sector schedule model, selected schedule level and scenario compression/buffer logic.</t>
        </is>
      </c>
      <c r="H19" s="20" t="inlineStr"/>
    </row>
    <row r="20" ht="18" customHeight="1">
      <c r="A20" s="20" t="inlineStr">
        <is>
          <t>P4000</t>
        </is>
      </c>
      <c r="B20" s="20" t="inlineStr">
        <is>
          <t>Package</t>
        </is>
      </c>
      <c r="C20" s="20" t="inlineStr">
        <is>
          <t>ORAT</t>
        </is>
      </c>
      <c r="D20" s="20" t="inlineStr">
        <is>
          <t>P3000</t>
        </is>
      </c>
      <c r="E20" s="20" t="n">
        <v>3</v>
      </c>
      <c r="F20" s="20" t="inlineStr">
        <is>
          <t>Yes</t>
        </is>
      </c>
      <c r="G20" s="20" t="inlineStr">
        <is>
          <t>Duration derived from sector schedule model, selected schedule level and scenario compression/buffer logic.</t>
        </is>
      </c>
      <c r="H20" s="20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42" customWidth="1" min="6" max="6"/>
    <col width="42" customWidth="1" min="7" max="7"/>
    <col width="42" customWidth="1" min="8" max="8"/>
  </cols>
  <sheetData>
    <row r="1" ht="34" customHeight="1">
      <c r="A1" s="1" t="inlineStr">
        <is>
          <t>SCENARIO COMPARISON - BASE / FASTER / CHEAPER / LOWER RISK / PREMIUM</t>
        </is>
      </c>
      <c r="B1" s="2" t="n"/>
      <c r="C1" s="2" t="n"/>
      <c r="D1" s="2" t="n"/>
      <c r="E1" s="2" t="n"/>
      <c r="F1" s="2" t="n"/>
      <c r="G1" s="2" t="n"/>
      <c r="H1" s="2" t="n"/>
    </row>
    <row r="2" ht="28" customHeight="1">
      <c r="A2" s="3" t="inlineStr">
        <is>
          <t>Scenario choice must change cost, schedule, risk and confidence.</t>
        </is>
      </c>
      <c r="B2" s="4" t="n"/>
      <c r="C2" s="4" t="n"/>
      <c r="D2" s="4" t="n"/>
      <c r="E2" s="4" t="n"/>
      <c r="F2" s="4" t="n"/>
      <c r="G2" s="4" t="n"/>
      <c r="H2" s="4" t="n"/>
    </row>
    <row r="3" ht="18" customHeight="1"/>
    <row r="4" ht="26" customHeight="1">
      <c r="A4" s="13" t="inlineStr">
        <is>
          <t>Scenario</t>
        </is>
      </c>
      <c r="B4" s="13" t="inlineStr">
        <is>
          <t>P50 Cost</t>
        </is>
      </c>
      <c r="C4" s="13" t="inlineStr">
        <is>
          <t>Schedule</t>
        </is>
      </c>
      <c r="D4" s="13" t="inlineStr">
        <is>
          <t>Risk</t>
        </is>
      </c>
      <c r="E4" s="13" t="inlineStr">
        <is>
          <t>Confidence</t>
        </is>
      </c>
      <c r="F4" s="13" t="inlineStr">
        <is>
          <t>Cost Change Logic</t>
        </is>
      </c>
      <c r="G4" s="13" t="inlineStr">
        <is>
          <t>Schedule Change Logic</t>
        </is>
      </c>
      <c r="H4" s="13" t="inlineStr">
        <is>
          <t>Risk Logic</t>
        </is>
      </c>
    </row>
    <row r="5" ht="18" customHeight="1">
      <c r="A5" s="5" t="inlineStr">
        <is>
          <t>base</t>
        </is>
      </c>
      <c r="D5" s="5" t="inlineStr">
        <is>
          <t>Medium</t>
        </is>
      </c>
      <c r="E5" s="5" t="n">
        <v>64</v>
      </c>
      <c r="F5" s="5" t="inlineStr">
        <is>
          <t>Balanced reference case.</t>
        </is>
      </c>
      <c r="G5" s="5" t="inlineStr"/>
      <c r="H5" s="5" t="inlineStr"/>
    </row>
    <row r="6" ht="18" customHeight="1">
      <c r="A6" s="5" t="inlineStr">
        <is>
          <t>faster</t>
        </is>
      </c>
      <c r="D6" s="5" t="inlineStr">
        <is>
          <t>Medium</t>
        </is>
      </c>
      <c r="E6" s="5" t="n">
        <v>59</v>
      </c>
      <c r="F6" s="5" t="inlineStr">
        <is>
          <t>Parallel design/procurement, acceleration, premium logistics and higher interface risk.</t>
        </is>
      </c>
      <c r="G6" s="5" t="inlineStr"/>
      <c r="H6" s="5" t="inlineStr"/>
    </row>
    <row r="7" ht="18" customHeight="1">
      <c r="A7" s="5" t="inlineStr">
        <is>
          <t>cheaper</t>
        </is>
      </c>
      <c r="D7" s="5" t="inlineStr">
        <is>
          <t>Medium</t>
        </is>
      </c>
      <c r="E7" s="5" t="n">
        <v>58</v>
      </c>
      <c r="F7" s="5" t="inlineStr">
        <is>
          <t>Value engineering, tighter scope and procurement competition, with schedule/quality exposure.</t>
        </is>
      </c>
      <c r="G7" s="5" t="inlineStr"/>
      <c r="H7" s="5" t="inlineStr"/>
    </row>
    <row r="8" ht="18" customHeight="1">
      <c r="A8" s="5" t="inlineStr">
        <is>
          <t>lower_risk</t>
        </is>
      </c>
      <c r="D8" s="5" t="inlineStr">
        <is>
          <t>Low</t>
        </is>
      </c>
      <c r="E8" s="5" t="n">
        <v>77</v>
      </c>
      <c r="F8" s="5" t="inlineStr">
        <is>
          <t>More surveys, assurance, stage gates, contingency and schedule buffers.</t>
        </is>
      </c>
      <c r="G8" s="5" t="inlineStr"/>
      <c r="H8" s="5" t="inlineStr"/>
    </row>
    <row r="9" ht="18" customHeight="1">
      <c r="A9" s="5" t="inlineStr">
        <is>
          <t>premium</t>
        </is>
      </c>
      <c r="D9" s="5" t="inlineStr">
        <is>
          <t>Low</t>
        </is>
      </c>
      <c r="E9" s="5" t="n">
        <v>80</v>
      </c>
      <c r="F9" s="5" t="inlineStr">
        <is>
          <t>Best assurance, independent review, early procurement and high-confidence governance.</t>
        </is>
      </c>
      <c r="G9" s="5" t="inlineStr"/>
      <c r="H9" s="5" t="inlineStr"/>
    </row>
    <row r="10" ht="18" customHeight="1">
      <c r="A10" s="5" t="inlineStr">
        <is>
          <t>investor</t>
        </is>
      </c>
      <c r="D10" s="5" t="inlineStr">
        <is>
          <t>Low</t>
        </is>
      </c>
      <c r="E10" s="5" t="n">
        <v>71</v>
      </c>
      <c r="F10" s="5" t="inlineStr">
        <is>
          <t>Investment-framing case with transparent risk and commercial challenge.</t>
        </is>
      </c>
      <c r="G10" s="5" t="inlineStr"/>
      <c r="H10" s="5" t="inlineStr"/>
    </row>
    <row r="11" ht="18" customHeight="1">
      <c r="A11" s="5" t="inlineStr">
        <is>
          <t>survival</t>
        </is>
      </c>
      <c r="D11" s="5" t="inlineStr">
        <is>
          <t>Medium</t>
        </is>
      </c>
      <c r="E11" s="5" t="n">
        <v>54</v>
      </c>
      <c r="F11" s="5" t="inlineStr">
        <is>
          <t>Minimum viable scope, warning-heavy, high residual risk.</t>
        </is>
      </c>
      <c r="G11" s="5" t="inlineStr"/>
      <c r="H11" s="5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 ht="34" customHeight="1">
      <c r="A1" s="1" t="inlineStr">
        <is>
          <t>BENCHMARKING AND PEER CHALLENGE</t>
        </is>
      </c>
      <c r="B1" s="2" t="n"/>
      <c r="C1" s="2" t="n"/>
      <c r="D1" s="2" t="n"/>
      <c r="E1" s="2" t="n"/>
      <c r="F1" s="2" t="n"/>
      <c r="G1" s="2" t="n"/>
      <c r="H1" s="2" t="n"/>
    </row>
    <row r="2" ht="28" customHeight="1">
      <c r="A2" s="3" t="inlineStr">
        <is>
          <t>Use to challenge Tier 1 contractor estimates, market rates and sponsor assumptions.</t>
        </is>
      </c>
      <c r="B2" s="4" t="n"/>
      <c r="C2" s="4" t="n"/>
      <c r="D2" s="4" t="n"/>
      <c r="E2" s="4" t="n"/>
      <c r="F2" s="4" t="n"/>
      <c r="G2" s="4" t="n"/>
      <c r="H2" s="4" t="n"/>
    </row>
    <row r="3" ht="18" customHeight="1"/>
    <row r="4" ht="26" customHeight="1">
      <c r="A4" s="13" t="inlineStr">
        <is>
          <t>Benchmark / Peer</t>
        </is>
      </c>
      <c r="B4" s="13" t="inlineStr">
        <is>
          <t>What to compare</t>
        </is>
      </c>
      <c r="C4" s="13" t="inlineStr">
        <is>
          <t>Why it matters</t>
        </is>
      </c>
      <c r="D4" s="13" t="inlineStr">
        <is>
          <t>Challenge question</t>
        </is>
      </c>
      <c r="E4" s="13" t="inlineStr">
        <is>
          <t>Evidence required</t>
        </is>
      </c>
    </row>
    <row r="5" ht="18" customHeight="1">
      <c r="A5" s="5" t="inlineStr">
        <is>
          <t>Dubai Airports</t>
        </is>
      </c>
      <c r="B5" s="5" t="inlineStr">
        <is>
          <t>Unit rates, schedule intensity, cost/scope normalization</t>
        </is>
      </c>
      <c r="C5" s="5" t="inlineStr">
        <is>
          <t>Prevents blind acceptance of contractor/adviser basis</t>
        </is>
      </c>
      <c r="D5" s="5" t="inlineStr">
        <is>
          <t>Where are we above peer norm and why?</t>
        </is>
      </c>
      <c r="E5" s="5" t="inlineStr">
        <is>
          <t>Rate build-up, supplier quote, productivity basis, exclusions log</t>
        </is>
      </c>
    </row>
    <row r="6" ht="18" customHeight="1">
      <c r="A6" s="5" t="inlineStr">
        <is>
          <t>Heathrow operators</t>
        </is>
      </c>
      <c r="B6" s="5" t="inlineStr">
        <is>
          <t>Unit rates, schedule intensity, cost/scope normalization</t>
        </is>
      </c>
      <c r="C6" s="5" t="inlineStr">
        <is>
          <t>Prevents blind acceptance of contractor/adviser basis</t>
        </is>
      </c>
      <c r="D6" s="5" t="inlineStr">
        <is>
          <t>Where are we above peer norm and why?</t>
        </is>
      </c>
      <c r="E6" s="5" t="inlineStr">
        <is>
          <t>Rate build-up, supplier quote, productivity basis, exclusions log</t>
        </is>
      </c>
    </row>
    <row r="7" ht="18" customHeight="1">
      <c r="A7" s="5" t="inlineStr">
        <is>
          <t>Changi Airport Group</t>
        </is>
      </c>
      <c r="B7" s="5" t="inlineStr">
        <is>
          <t>Unit rates, schedule intensity, cost/scope normalization</t>
        </is>
      </c>
      <c r="C7" s="5" t="inlineStr">
        <is>
          <t>Prevents blind acceptance of contractor/adviser basis</t>
        </is>
      </c>
      <c r="D7" s="5" t="inlineStr">
        <is>
          <t>Where are we above peer norm and why?</t>
        </is>
      </c>
      <c r="E7" s="5" t="inlineStr">
        <is>
          <t>Rate build-up, supplier quote, productivity basis, exclusions log</t>
        </is>
      </c>
    </row>
    <row r="8" ht="18" customHeight="1">
      <c r="A8" s="5" t="inlineStr">
        <is>
          <t>AD Airports</t>
        </is>
      </c>
      <c r="B8" s="5" t="inlineStr">
        <is>
          <t>Unit rates, schedule intensity, cost/scope normalization</t>
        </is>
      </c>
      <c r="C8" s="5" t="inlineStr">
        <is>
          <t>Prevents blind acceptance of contractor/adviser basis</t>
        </is>
      </c>
      <c r="D8" s="5" t="inlineStr">
        <is>
          <t>Where are we above peer norm and why?</t>
        </is>
      </c>
      <c r="E8" s="5" t="inlineStr">
        <is>
          <t>Rate build-up, supplier quote, productivity basis, exclusions log</t>
        </is>
      </c>
    </row>
    <row r="9" ht="18" customHeight="1">
      <c r="A9" s="5" t="inlineStr">
        <is>
          <t>Saudi airport programmes</t>
        </is>
      </c>
      <c r="B9" s="5" t="inlineStr">
        <is>
          <t>Unit rates, schedule intensity, cost/scope normalization</t>
        </is>
      </c>
      <c r="C9" s="5" t="inlineStr">
        <is>
          <t>Prevents blind acceptance of contractor/adviser basis</t>
        </is>
      </c>
      <c r="D9" s="5" t="inlineStr">
        <is>
          <t>Where are we above peer norm and why?</t>
        </is>
      </c>
      <c r="E9" s="5" t="inlineStr">
        <is>
          <t>Rate build-up, supplier quote, productivity basis, exclusions log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85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 ht="34" customHeight="1">
      <c r="A1" s="1" t="inlineStr">
        <is>
          <t>ASSUMPTIONS, LIMITATIONS AND DECISION GATES</t>
        </is>
      </c>
      <c r="B1" s="2" t="n"/>
      <c r="C1" s="2" t="n"/>
      <c r="D1" s="2" t="n"/>
      <c r="E1" s="2" t="n"/>
      <c r="F1" s="2" t="n"/>
      <c r="G1" s="2" t="n"/>
      <c r="H1" s="2" t="n"/>
    </row>
    <row r="2" ht="28" customHeight="1">
      <c r="A2" s="3" t="inlineStr">
        <is>
          <t>Makes the output honest: a first-pass project controls intelligence pack, not a final tender estimate.</t>
        </is>
      </c>
      <c r="B2" s="4" t="n"/>
      <c r="C2" s="4" t="n"/>
      <c r="D2" s="4" t="n"/>
      <c r="E2" s="4" t="n"/>
      <c r="F2" s="4" t="n"/>
      <c r="G2" s="4" t="n"/>
      <c r="H2" s="4" t="n"/>
    </row>
    <row r="3" ht="18" customHeight="1"/>
    <row r="4" ht="26" customHeight="1">
      <c r="A4" s="13" t="inlineStr">
        <is>
          <t>Area</t>
        </is>
      </c>
      <c r="B4" s="13" t="inlineStr">
        <is>
          <t>Assumption / Limitation</t>
        </is>
      </c>
      <c r="C4" s="13" t="inlineStr">
        <is>
          <t>Board Action</t>
        </is>
      </c>
    </row>
    <row r="5" ht="18" customHeight="1">
      <c r="A5" s="5" t="inlineStr">
        <is>
          <t>Estimate</t>
        </is>
      </c>
      <c r="B5" s="5" t="inlineStr">
        <is>
          <t>Class 3 Budget Authorization with 10-40% definition maturity; not a contractor tender price.</t>
        </is>
      </c>
      <c r="C5" s="5" t="inlineStr">
        <is>
          <t>Use to challenge, shortlist and frame approval gates.</t>
        </is>
      </c>
    </row>
    <row r="6" ht="18" customHeight="1">
      <c r="A6" s="5" t="inlineStr">
        <is>
          <t>Schedule</t>
        </is>
      </c>
      <c r="B6" s="5" t="inlineStr">
        <is>
          <t>Level 4 logic; critical path and float require validation against project-specific constraints.</t>
        </is>
      </c>
      <c r="C6" s="5" t="inlineStr">
        <is>
          <t>Run schedule risk workshop and validate dependencies.</t>
        </is>
      </c>
    </row>
    <row r="7" ht="18" customHeight="1">
      <c r="A7" s="5" t="inlineStr">
        <is>
          <t>Risk</t>
        </is>
      </c>
      <c r="B7" s="5" t="inlineStr">
        <is>
          <t>QCRA and QSRA distributions are modelled from the generated register and selected scenario.</t>
        </is>
      </c>
      <c r="C7" s="5" t="inlineStr">
        <is>
          <t>Replace assumptions with workshop data as evidence improves.</t>
        </is>
      </c>
    </row>
    <row r="8" ht="18" customHeight="1">
      <c r="A8" s="5" t="inlineStr">
        <is>
          <t>Scenario</t>
        </is>
      </c>
      <c r="B8" s="5" t="inlineStr">
        <is>
          <t>Parallel design/procurement, acceleration, premium logistics and higher interface risk.</t>
        </is>
      </c>
      <c r="C8" s="5" t="inlineStr">
        <is>
          <t>Compare Base / Faster / Cheaper / Lower Risk before board decision.</t>
        </is>
      </c>
    </row>
    <row r="9" ht="18" customHeight="1">
      <c r="A9" s="5" t="inlineStr">
        <is>
          <t>Outputs</t>
        </is>
      </c>
      <c r="B9" s="5" t="inlineStr">
        <is>
          <t>Exports are board-preparation outputs and should be reviewed before external release.</t>
        </is>
      </c>
      <c r="C9" s="5" t="inlineStr">
        <is>
          <t>Apply owner governance, sign-off and evidence checks.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2026-05-04T21:32:56Z</dcterms:created>
  <dcterms:modified xmlns:dcterms="http://purl.org/dc/terms/" xmlns:xsi="http://www.w3.org/2001/XMLSchema-instance" xsi:type="dcterms:W3CDTF">2026-05-04T21:32:57Z</dcterms:modified>
</cp:coreProperties>
</file>