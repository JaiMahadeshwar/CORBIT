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Drivers'!$B$2:$B$11</f>
            </numRef>
          </cat>
          <val>
            <numRef>
              <f>'Tornado Drivers'!$G$2:$G$11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2026-05-02T19:14:58.238916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AI Data Centre Campus</t>
        </is>
      </c>
    </row>
    <row r="5">
      <c r="A5" s="2" t="inlineStr">
        <is>
          <t>Client</t>
        </is>
      </c>
      <c r="B5" s="2" t="inlineStr">
        <is>
          <t>Microsoft</t>
        </is>
      </c>
    </row>
    <row r="6">
      <c r="A6" s="2" t="inlineStr">
        <is>
          <t>Executive Summary</t>
        </is>
      </c>
      <c r="B6" s="2" t="inlineStr">
        <is>
          <t>AI Data Centre Campus has been classified as Digital Infrastructure / Hyperscale Data Centre in Saudi Arabia / GCC. CASEY estimates $5.6B P50 cost, $4.5B to $7.3B range, 46 month baseline, Medium risk and 64% confidence under the Base scenario.</t>
        </is>
      </c>
    </row>
    <row r="7">
      <c r="A7" s="2" t="inlineStr">
        <is>
          <t>Mode</t>
        </is>
      </c>
      <c r="B7" s="2" t="inlineStr">
        <is>
          <t>Earth</t>
        </is>
      </c>
    </row>
    <row r="8">
      <c r="A8" s="2" t="inlineStr">
        <is>
          <t>Subsector</t>
        </is>
      </c>
      <c r="B8" s="2" t="inlineStr">
        <is>
          <t>Digital Infrastructure / Hyperscale Data Centre</t>
        </is>
      </c>
    </row>
    <row r="9">
      <c r="A9" s="2" t="inlineStr">
        <is>
          <t>Location</t>
        </is>
      </c>
      <c r="B9" s="2" t="inlineStr">
        <is>
          <t>Saudi Arabia / GCC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$4.5B</t>
        </is>
      </c>
    </row>
    <row r="12">
      <c r="A12" s="2" t="inlineStr">
        <is>
          <t>Cost P50</t>
        </is>
      </c>
      <c r="B12" s="2" t="inlineStr">
        <is>
          <t>$5.6B</t>
        </is>
      </c>
    </row>
    <row r="13">
      <c r="A13" s="2" t="inlineStr">
        <is>
          <t>Cost P90</t>
        </is>
      </c>
      <c r="B13" s="2" t="inlineStr">
        <is>
          <t>$7.3B</t>
        </is>
      </c>
    </row>
    <row r="14">
      <c r="A14" s="2" t="inlineStr">
        <is>
          <t>Schedule</t>
        </is>
      </c>
      <c r="B14" s="2" t="inlineStr">
        <is>
          <t>46 months</t>
        </is>
      </c>
    </row>
    <row r="15">
      <c r="A15" s="2" t="inlineStr">
        <is>
          <t>QCRA P80</t>
        </is>
      </c>
      <c r="B15" s="2" t="inlineStr">
        <is>
          <t>$8.4B</t>
        </is>
      </c>
    </row>
    <row r="16">
      <c r="A16" s="2" t="inlineStr">
        <is>
          <t>QSRA P80</t>
        </is>
      </c>
      <c r="B16" s="2" t="n">
        <v>58.08</v>
      </c>
    </row>
    <row r="17">
      <c r="A17" s="2" t="inlineStr">
        <is>
          <t>Risk</t>
        </is>
      </c>
      <c r="B17" s="2" t="inlineStr">
        <is>
          <t>Medium</t>
        </is>
      </c>
    </row>
    <row r="18">
      <c r="A18" s="2" t="inlineStr">
        <is>
          <t>Confidence</t>
        </is>
      </c>
      <c r="B18" s="2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Site Preparation / Enabling</t>
        </is>
      </c>
      <c r="C2" s="2" t="inlineStr">
        <is>
          <t>Direct</t>
        </is>
      </c>
      <c r="D2" s="2" t="inlineStr">
        <is>
          <t>Demolition, enabling, logistics and access</t>
        </is>
      </c>
      <c r="E2" s="2" t="n">
        <v>0.271</v>
      </c>
      <c r="F2" s="2" t="n">
        <v>0.339</v>
      </c>
      <c r="G2" s="2" t="n">
        <v>0.44</v>
      </c>
      <c r="H2" s="2" t="inlineStr">
        <is>
          <t>Site Preparation / Enabling priced as 6.0% of P50 from sector template, location factor 1.35, scale factor 1.00, complexity factor 1.10.</t>
        </is>
      </c>
    </row>
    <row r="3">
      <c r="A3" s="2" t="inlineStr">
        <is>
          <t>01.02</t>
        </is>
      </c>
      <c r="B3" s="2" t="inlineStr">
        <is>
          <t>Substructure / Foundations</t>
        </is>
      </c>
      <c r="C3" s="2" t="inlineStr">
        <is>
          <t>Direct</t>
        </is>
      </c>
      <c r="D3" s="2" t="inlineStr">
        <is>
          <t>Piling, groundworks, retaining and foundations</t>
        </is>
      </c>
      <c r="E3" s="2" t="n">
        <v>0.361</v>
      </c>
      <c r="F3" s="2" t="n">
        <v>0.451</v>
      </c>
      <c r="G3" s="2" t="n">
        <v>0.587</v>
      </c>
      <c r="H3" s="2" t="inlineStr">
        <is>
          <t>Substructure / Foundations priced as 8.0% of P50 from sector template, location factor 1.35, scale factor 1.00, complexity factor 1.10.</t>
        </is>
      </c>
    </row>
    <row r="4">
      <c r="A4" s="2" t="inlineStr">
        <is>
          <t>01.03</t>
        </is>
      </c>
      <c r="B4" s="2" t="inlineStr">
        <is>
          <t>Superstructure / Civil Works</t>
        </is>
      </c>
      <c r="C4" s="2" t="inlineStr">
        <is>
          <t>Direct</t>
        </is>
      </c>
      <c r="D4" s="2" t="inlineStr">
        <is>
          <t>Frame, civils, primary structures</t>
        </is>
      </c>
      <c r="E4" s="2" t="n">
        <v>0.632</v>
      </c>
      <c r="F4" s="2" t="n">
        <v>0.79</v>
      </c>
      <c r="G4" s="2" t="n">
        <v>1.027</v>
      </c>
      <c r="H4" s="2" t="inlineStr">
        <is>
          <t>Superstructure / Civil Works priced as 14.0% of P50 from sector template, location factor 1.35, scale factor 1.00, complexity factor 1.10.</t>
        </is>
      </c>
    </row>
    <row r="5">
      <c r="A5" s="2" t="inlineStr">
        <is>
          <t>01.04</t>
        </is>
      </c>
      <c r="B5" s="2" t="inlineStr">
        <is>
          <t>MEP / Systems / Utilities</t>
        </is>
      </c>
      <c r="C5" s="2" t="inlineStr">
        <is>
          <t>Direct</t>
        </is>
      </c>
      <c r="D5" s="2" t="inlineStr">
        <is>
          <t>Mechanical, electrical, controls and utilities</t>
        </is>
      </c>
      <c r="E5" s="2" t="n">
        <v>0.632</v>
      </c>
      <c r="F5" s="2" t="n">
        <v>0.79</v>
      </c>
      <c r="G5" s="2" t="n">
        <v>1.027</v>
      </c>
      <c r="H5" s="2" t="inlineStr">
        <is>
          <t>MEP / Systems / Utilities priced as 14.0% of P50 from sector template, location factor 1.35, scale factor 1.00, complexity factor 1.10.</t>
        </is>
      </c>
    </row>
    <row r="6">
      <c r="A6" s="2" t="inlineStr">
        <is>
          <t>01.05</t>
        </is>
      </c>
      <c r="B6" s="2" t="inlineStr">
        <is>
          <t>Specialist Equipment / Fit-Out</t>
        </is>
      </c>
      <c r="C6" s="2" t="inlineStr">
        <is>
          <t>Direct</t>
        </is>
      </c>
      <c r="D6" s="2" t="inlineStr">
        <is>
          <t>Permanent equipment and specialist fit-out</t>
        </is>
      </c>
      <c r="E6" s="2" t="n">
        <v>0.542</v>
      </c>
      <c r="F6" s="2" t="n">
        <v>0.677</v>
      </c>
      <c r="G6" s="2" t="n">
        <v>0.88</v>
      </c>
      <c r="H6" s="2" t="inlineStr">
        <is>
          <t>Specialist Equipment / Fit-Out priced as 12.0% of P50 from sector template, location factor 1.35, scale factor 1.00, complexity factor 1.10.</t>
        </is>
      </c>
    </row>
    <row r="7">
      <c r="A7" s="2" t="inlineStr">
        <is>
          <t>01.06</t>
        </is>
      </c>
      <c r="B7" s="2" t="inlineStr">
        <is>
          <t>Data Halls / White Space</t>
        </is>
      </c>
      <c r="C7" s="2" t="inlineStr">
        <is>
          <t>Direct</t>
        </is>
      </c>
      <c r="D7" s="2" t="inlineStr">
        <is>
          <t>Server halls, fit-out and critical rooms</t>
        </is>
      </c>
      <c r="E7" s="2" t="n">
        <v>0.587</v>
      </c>
      <c r="F7" s="2" t="n">
        <v>0.734</v>
      </c>
      <c r="G7" s="2" t="n">
        <v>0.954</v>
      </c>
      <c r="H7" s="2" t="inlineStr">
        <is>
          <t>Data Halls / White Space priced as 13.0% of P50 from sector template, location factor 1.35, scale factor 1.00, complexity factor 1.10.</t>
        </is>
      </c>
    </row>
    <row r="8">
      <c r="A8" s="2" t="inlineStr">
        <is>
          <t>01.07</t>
        </is>
      </c>
      <c r="B8" s="2" t="inlineStr">
        <is>
          <t>Power Train / Substations</t>
        </is>
      </c>
      <c r="C8" s="2" t="inlineStr">
        <is>
          <t>Direct</t>
        </is>
      </c>
      <c r="D8" s="2" t="inlineStr">
        <is>
          <t>HV/MV gear, UPS, generators and substations</t>
        </is>
      </c>
      <c r="E8" s="2" t="n">
        <v>0.722</v>
      </c>
      <c r="F8" s="2" t="n">
        <v>0.903</v>
      </c>
      <c r="G8" s="2" t="n">
        <v>1.174</v>
      </c>
      <c r="H8" s="2" t="inlineStr">
        <is>
          <t>Power Train / Substations priced as 16.0% of P50 from sector template, location factor 1.35, scale factor 1.00, complexity factor 1.10.</t>
        </is>
      </c>
    </row>
    <row r="9">
      <c r="A9" s="2" t="inlineStr">
        <is>
          <t>01.08</t>
        </is>
      </c>
      <c r="B9" s="2" t="inlineStr">
        <is>
          <t>Cooling Systems</t>
        </is>
      </c>
      <c r="C9" s="2" t="inlineStr">
        <is>
          <t>Direct</t>
        </is>
      </c>
      <c r="D9" s="2" t="inlineStr">
        <is>
          <t>Chillers, heat rejection, CRAH/CRAC, water systems</t>
        </is>
      </c>
      <c r="E9" s="2" t="n">
        <v>0.542</v>
      </c>
      <c r="F9" s="2" t="n">
        <v>0.677</v>
      </c>
      <c r="G9" s="2" t="n">
        <v>0.88</v>
      </c>
      <c r="H9" s="2" t="inlineStr">
        <is>
          <t>Cooling Systems priced as 12.0% of P50 from sector template, location factor 1.35, scale factor 1.00, complexity factor 1.10.</t>
        </is>
      </c>
    </row>
    <row r="10">
      <c r="A10" s="2" t="inlineStr">
        <is>
          <t>01.09</t>
        </is>
      </c>
      <c r="B10" s="2" t="inlineStr">
        <is>
          <t>Direct Labour</t>
        </is>
      </c>
      <c r="C10" s="2" t="inlineStr">
        <is>
          <t>Direct</t>
        </is>
      </c>
      <c r="D10" s="2" t="inlineStr">
        <is>
          <t>Productivity, supervision and trade labour</t>
        </is>
      </c>
      <c r="E10" s="2" t="n">
        <v>0.406</v>
      </c>
      <c r="F10" s="2" t="n">
        <v>0.508</v>
      </c>
      <c r="G10" s="2" t="n">
        <v>0.66</v>
      </c>
      <c r="H10" s="2" t="inlineStr">
        <is>
          <t>Direct Labour priced as 9.0% of P50 from sector template, location factor 1.35, scale factor 1.00, complexity factor 1.10.</t>
        </is>
      </c>
    </row>
    <row r="11">
      <c r="A11" s="2" t="inlineStr">
        <is>
          <t>01.10</t>
        </is>
      </c>
      <c r="B11" s="2" t="inlineStr">
        <is>
          <t>Direct Materials</t>
        </is>
      </c>
      <c r="C11" s="2" t="inlineStr">
        <is>
          <t>Direct</t>
        </is>
      </c>
      <c r="D11" s="2" t="inlineStr">
        <is>
          <t>Concrete, steel, envelope, MEP materials</t>
        </is>
      </c>
      <c r="E11" s="2" t="n">
        <v>0.451</v>
      </c>
      <c r="F11" s="2" t="n">
        <v>0.5639999999999999</v>
      </c>
      <c r="G11" s="2" t="n">
        <v>0.734</v>
      </c>
      <c r="H11" s="2" t="inlineStr">
        <is>
          <t>Direct Materials priced as 10.0% of P50 from sector template, location factor 1.35, scale factor 1.00, complexity factor 1.10.</t>
        </is>
      </c>
    </row>
    <row r="12">
      <c r="A12" s="2" t="inlineStr">
        <is>
          <t>01.11</t>
        </is>
      </c>
      <c r="B12" s="2" t="inlineStr">
        <is>
          <t>Plant / Equipment</t>
        </is>
      </c>
      <c r="C12" s="2" t="inlineStr">
        <is>
          <t>Direct</t>
        </is>
      </c>
      <c r="D12" s="2" t="inlineStr">
        <is>
          <t>Cranes, heavy plant and site equipment</t>
        </is>
      </c>
      <c r="E12" s="2" t="n">
        <v>0.181</v>
      </c>
      <c r="F12" s="2" t="n">
        <v>0.226</v>
      </c>
      <c r="G12" s="2" t="n">
        <v>0.293</v>
      </c>
      <c r="H12" s="2" t="inlineStr">
        <is>
          <t>Plant / Equipment priced as 4.0% of P50 from sector template, location factor 1.35, scale factor 1.00, complexity factor 1.10.</t>
        </is>
      </c>
    </row>
    <row r="13">
      <c r="A13" s="2" t="inlineStr">
        <is>
          <t>02.01</t>
        </is>
      </c>
      <c r="B13" s="2" t="inlineStr">
        <is>
          <t>General Conditions / Prelims</t>
        </is>
      </c>
      <c r="C13" s="2" t="inlineStr">
        <is>
          <t>Indirect</t>
        </is>
      </c>
      <c r="D13" s="2" t="inlineStr">
        <is>
          <t>Site management, safety, offices and temporary services</t>
        </is>
      </c>
      <c r="E13" s="2" t="n">
        <v>0.316</v>
      </c>
      <c r="F13" s="2" t="n">
        <v>0.395</v>
      </c>
      <c r="G13" s="2" t="n">
        <v>0.514</v>
      </c>
      <c r="H13" s="2" t="inlineStr">
        <is>
          <t>General Conditions / Prelims priced as 7.0% of P50 from sector template, location factor 1.35, scale factor 1.00, complexity factor 1.10.</t>
        </is>
      </c>
    </row>
    <row r="14">
      <c r="A14" s="2" t="inlineStr">
        <is>
          <t>02.02</t>
        </is>
      </c>
      <c r="B14" s="2" t="inlineStr">
        <is>
          <t>Design / Professional Fees</t>
        </is>
      </c>
      <c r="C14" s="2" t="inlineStr">
        <is>
          <t>Indirect</t>
        </is>
      </c>
      <c r="D14" s="2" t="inlineStr">
        <is>
          <t>Design, QS, controls, assurance and consultants</t>
        </is>
      </c>
      <c r="E14" s="2" t="n">
        <v>0.316</v>
      </c>
      <c r="F14" s="2" t="n">
        <v>0.395</v>
      </c>
      <c r="G14" s="2" t="n">
        <v>0.514</v>
      </c>
      <c r="H14" s="2" t="inlineStr">
        <is>
          <t>Design / Professional Fees priced as 7.0% of P50 from sector template, location factor 1.35, scale factor 1.00, complexity factor 1.10.</t>
        </is>
      </c>
    </row>
    <row r="15">
      <c r="A15" s="2" t="inlineStr">
        <is>
          <t>02.03</t>
        </is>
      </c>
      <c r="B15" s="2" t="inlineStr">
        <is>
          <t>Permits / Insurance / Bonds</t>
        </is>
      </c>
      <c r="C15" s="2" t="inlineStr">
        <is>
          <t>Indirect</t>
        </is>
      </c>
      <c r="D15" s="2" t="inlineStr">
        <is>
          <t>Permits, inspections, legal, bonds and insurance</t>
        </is>
      </c>
      <c r="E15" s="2" t="n">
        <v>0.135</v>
      </c>
      <c r="F15" s="2" t="n">
        <v>0.169</v>
      </c>
      <c r="G15" s="2" t="n">
        <v>0.22</v>
      </c>
      <c r="H15" s="2" t="inlineStr">
        <is>
          <t>Permits / Insurance / Bonds priced as 3.0% of P50 from sector template, location factor 1.35, scale factor 1.00, complexity factor 1.10.</t>
        </is>
      </c>
    </row>
    <row r="16">
      <c r="A16" s="2" t="inlineStr">
        <is>
          <t>03.01</t>
        </is>
      </c>
      <c r="B16" s="2" t="inlineStr">
        <is>
          <t>QCRA Contingency</t>
        </is>
      </c>
      <c r="C16" s="2" t="inlineStr">
        <is>
          <t>Reserve</t>
        </is>
      </c>
      <c r="D16" s="2" t="inlineStr">
        <is>
          <t>Known-unknown risk allowance</t>
        </is>
      </c>
      <c r="E16" s="2" t="n">
        <v>0.271</v>
      </c>
      <c r="F16" s="2" t="n">
        <v>0.339</v>
      </c>
      <c r="G16" s="2" t="n">
        <v>0.44</v>
      </c>
      <c r="H16" s="2" t="inlineStr">
        <is>
          <t>QCRA Contingency priced as 6.0% of P50 from sector template, location factor 1.35, scale factor 1.00, complexity factor 1.10.</t>
        </is>
      </c>
    </row>
    <row r="17">
      <c r="A17" s="2" t="inlineStr">
        <is>
          <t>03.02</t>
        </is>
      </c>
      <c r="B17" s="2" t="inlineStr">
        <is>
          <t>Management Reserve</t>
        </is>
      </c>
      <c r="C17" s="2" t="inlineStr">
        <is>
          <t>Reserve</t>
        </is>
      </c>
      <c r="D17" s="2" t="inlineStr">
        <is>
          <t>Sponsor-held reserve</t>
        </is>
      </c>
      <c r="E17" s="2" t="n">
        <v>0.135</v>
      </c>
      <c r="F17" s="2" t="n">
        <v>0.169</v>
      </c>
      <c r="G17" s="2" t="n">
        <v>0.22</v>
      </c>
      <c r="H17" s="2" t="inlineStr">
        <is>
          <t>Management Reserve priced as 3.0% of P50 from sector template, location factor 1.35, scale factor 1.00, complexity factor 1.10.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0.305</v>
      </c>
      <c r="E2" s="2" t="n">
        <v>0.339</v>
      </c>
      <c r="F2" s="2" t="n">
        <v>0.39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0.406</v>
      </c>
      <c r="E3" s="2" t="n">
        <v>0.451</v>
      </c>
      <c r="F3" s="2" t="n">
        <v>0.519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0.711</v>
      </c>
      <c r="E4" s="2" t="n">
        <v>0.79</v>
      </c>
      <c r="F4" s="2" t="n">
        <v>0.908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0.711</v>
      </c>
      <c r="E5" s="2" t="n">
        <v>0.79</v>
      </c>
      <c r="F5" s="2" t="n">
        <v>0.908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0.609</v>
      </c>
      <c r="E6" s="2" t="n">
        <v>0.677</v>
      </c>
      <c r="F6" s="2" t="n">
        <v>0.779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0.661</v>
      </c>
      <c r="E7" s="2" t="n">
        <v>0.734</v>
      </c>
      <c r="F7" s="2" t="n">
        <v>0.844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0.8129999999999999</v>
      </c>
      <c r="E8" s="2" t="n">
        <v>0.903</v>
      </c>
      <c r="F8" s="2" t="n">
        <v>1.038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Cooling Systems</t>
        </is>
      </c>
      <c r="D9" s="2" t="n">
        <v>0.609</v>
      </c>
      <c r="E9" s="2" t="n">
        <v>0.677</v>
      </c>
      <c r="F9" s="2" t="n">
        <v>0.779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0.457</v>
      </c>
      <c r="E10" s="2" t="n">
        <v>0.508</v>
      </c>
      <c r="F10" s="2" t="n">
        <v>0.584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0.508</v>
      </c>
      <c r="E11" s="2" t="n">
        <v>0.5639999999999999</v>
      </c>
      <c r="F11" s="2" t="n">
        <v>0.649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0.203</v>
      </c>
      <c r="E12" s="2" t="n">
        <v>0.226</v>
      </c>
      <c r="F12" s="2" t="n">
        <v>0.26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0.356</v>
      </c>
      <c r="E13" s="2" t="n">
        <v>0.395</v>
      </c>
      <c r="F13" s="2" t="n">
        <v>0.454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0.356</v>
      </c>
      <c r="E14" s="2" t="n">
        <v>0.395</v>
      </c>
      <c r="F14" s="2" t="n">
        <v>0.454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0.152</v>
      </c>
      <c r="E15" s="2" t="n">
        <v>0.169</v>
      </c>
      <c r="F15" s="2" t="n">
        <v>0.194</v>
      </c>
      <c r="G15" s="2" t="inlineStr">
        <is>
          <t>65-100% definition maturity</t>
        </is>
      </c>
    </row>
    <row r="16">
      <c r="A16" s="2" t="inlineStr">
        <is>
          <t>1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0.305</v>
      </c>
      <c r="E16" s="2" t="n">
        <v>0.339</v>
      </c>
      <c r="F16" s="2" t="n">
        <v>0.39</v>
      </c>
      <c r="G16" s="2" t="inlineStr">
        <is>
          <t>65-100% definition maturity</t>
        </is>
      </c>
    </row>
    <row r="17">
      <c r="A17" s="2" t="inlineStr">
        <is>
          <t>1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0.152</v>
      </c>
      <c r="E17" s="2" t="n">
        <v>0.169</v>
      </c>
      <c r="F17" s="2" t="n">
        <v>0.194</v>
      </c>
      <c r="G17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0.288</v>
      </c>
      <c r="E2" s="2" t="n">
        <v>0.339</v>
      </c>
      <c r="F2" s="2" t="n">
        <v>0.407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0.383</v>
      </c>
      <c r="E3" s="2" t="n">
        <v>0.451</v>
      </c>
      <c r="F3" s="2" t="n">
        <v>0.541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0.671</v>
      </c>
      <c r="E4" s="2" t="n">
        <v>0.79</v>
      </c>
      <c r="F4" s="2" t="n">
        <v>0.948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0.671</v>
      </c>
      <c r="E5" s="2" t="n">
        <v>0.79</v>
      </c>
      <c r="F5" s="2" t="n">
        <v>0.948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0.575</v>
      </c>
      <c r="E6" s="2" t="n">
        <v>0.677</v>
      </c>
      <c r="F6" s="2" t="n">
        <v>0.8120000000000001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0.624</v>
      </c>
      <c r="E7" s="2" t="n">
        <v>0.734</v>
      </c>
      <c r="F7" s="2" t="n">
        <v>0.881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0.768</v>
      </c>
      <c r="E8" s="2" t="n">
        <v>0.903</v>
      </c>
      <c r="F8" s="2" t="n">
        <v>1.084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Cooling Systems</t>
        </is>
      </c>
      <c r="D9" s="2" t="n">
        <v>0.575</v>
      </c>
      <c r="E9" s="2" t="n">
        <v>0.677</v>
      </c>
      <c r="F9" s="2" t="n">
        <v>0.8120000000000001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0.432</v>
      </c>
      <c r="E10" s="2" t="n">
        <v>0.508</v>
      </c>
      <c r="F10" s="2" t="n">
        <v>0.61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0.479</v>
      </c>
      <c r="E11" s="2" t="n">
        <v>0.5639999999999999</v>
      </c>
      <c r="F11" s="2" t="n">
        <v>0.677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0.192</v>
      </c>
      <c r="E12" s="2" t="n">
        <v>0.226</v>
      </c>
      <c r="F12" s="2" t="n">
        <v>0.271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0.336</v>
      </c>
      <c r="E13" s="2" t="n">
        <v>0.395</v>
      </c>
      <c r="F13" s="2" t="n">
        <v>0.474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0.336</v>
      </c>
      <c r="E14" s="2" t="n">
        <v>0.395</v>
      </c>
      <c r="F14" s="2" t="n">
        <v>0.474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0.144</v>
      </c>
      <c r="E15" s="2" t="n">
        <v>0.169</v>
      </c>
      <c r="F15" s="2" t="n">
        <v>0.203</v>
      </c>
      <c r="G15" s="2" t="inlineStr">
        <is>
          <t>30-75% definition maturity</t>
        </is>
      </c>
    </row>
    <row r="16">
      <c r="A16" s="2" t="inlineStr">
        <is>
          <t>2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0.288</v>
      </c>
      <c r="E16" s="2" t="n">
        <v>0.339</v>
      </c>
      <c r="F16" s="2" t="n">
        <v>0.407</v>
      </c>
      <c r="G16" s="2" t="inlineStr">
        <is>
          <t>30-75% definition maturity</t>
        </is>
      </c>
    </row>
    <row r="17">
      <c r="A17" s="2" t="inlineStr">
        <is>
          <t>2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0.144</v>
      </c>
      <c r="E17" s="2" t="n">
        <v>0.169</v>
      </c>
      <c r="F17" s="2" t="n">
        <v>0.203</v>
      </c>
      <c r="G17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0.271</v>
      </c>
      <c r="E2" s="2" t="n">
        <v>0.339</v>
      </c>
      <c r="F2" s="2" t="n">
        <v>0.441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0.361</v>
      </c>
      <c r="E3" s="2" t="n">
        <v>0.451</v>
      </c>
      <c r="F3" s="2" t="n">
        <v>0.586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0.632</v>
      </c>
      <c r="E4" s="2" t="n">
        <v>0.79</v>
      </c>
      <c r="F4" s="2" t="n">
        <v>1.027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0.632</v>
      </c>
      <c r="E5" s="2" t="n">
        <v>0.79</v>
      </c>
      <c r="F5" s="2" t="n">
        <v>1.027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0.542</v>
      </c>
      <c r="E6" s="2" t="n">
        <v>0.677</v>
      </c>
      <c r="F6" s="2" t="n">
        <v>0.88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0.587</v>
      </c>
      <c r="E7" s="2" t="n">
        <v>0.734</v>
      </c>
      <c r="F7" s="2" t="n">
        <v>0.954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0.722</v>
      </c>
      <c r="E8" s="2" t="n">
        <v>0.903</v>
      </c>
      <c r="F8" s="2" t="n">
        <v>1.174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Cooling Systems</t>
        </is>
      </c>
      <c r="D9" s="2" t="n">
        <v>0.542</v>
      </c>
      <c r="E9" s="2" t="n">
        <v>0.677</v>
      </c>
      <c r="F9" s="2" t="n">
        <v>0.88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0.406</v>
      </c>
      <c r="E10" s="2" t="n">
        <v>0.508</v>
      </c>
      <c r="F10" s="2" t="n">
        <v>0.66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0.451</v>
      </c>
      <c r="E11" s="2" t="n">
        <v>0.5639999999999999</v>
      </c>
      <c r="F11" s="2" t="n">
        <v>0.733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0.181</v>
      </c>
      <c r="E12" s="2" t="n">
        <v>0.226</v>
      </c>
      <c r="F12" s="2" t="n">
        <v>0.294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0.316</v>
      </c>
      <c r="E13" s="2" t="n">
        <v>0.395</v>
      </c>
      <c r="F13" s="2" t="n">
        <v>0.514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0.316</v>
      </c>
      <c r="E14" s="2" t="n">
        <v>0.395</v>
      </c>
      <c r="F14" s="2" t="n">
        <v>0.514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0.135</v>
      </c>
      <c r="E15" s="2" t="n">
        <v>0.169</v>
      </c>
      <c r="F15" s="2" t="n">
        <v>0.22</v>
      </c>
      <c r="G15" s="2" t="inlineStr">
        <is>
          <t>10-40% definition maturity</t>
        </is>
      </c>
    </row>
    <row r="16">
      <c r="A16" s="2" t="inlineStr">
        <is>
          <t>3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0.271</v>
      </c>
      <c r="E16" s="2" t="n">
        <v>0.339</v>
      </c>
      <c r="F16" s="2" t="n">
        <v>0.441</v>
      </c>
      <c r="G16" s="2" t="inlineStr">
        <is>
          <t>10-40% definition maturity</t>
        </is>
      </c>
    </row>
    <row r="17">
      <c r="A17" s="2" t="inlineStr">
        <is>
          <t>3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0.135</v>
      </c>
      <c r="E17" s="2" t="n">
        <v>0.169</v>
      </c>
      <c r="F17" s="2" t="n">
        <v>0.22</v>
      </c>
      <c r="G17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0.237</v>
      </c>
      <c r="E2" s="2" t="n">
        <v>0.339</v>
      </c>
      <c r="F2" s="2" t="n">
        <v>0.509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0.316</v>
      </c>
      <c r="E3" s="2" t="n">
        <v>0.451</v>
      </c>
      <c r="F3" s="2" t="n">
        <v>0.676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0.553</v>
      </c>
      <c r="E4" s="2" t="n">
        <v>0.79</v>
      </c>
      <c r="F4" s="2" t="n">
        <v>1.185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0.553</v>
      </c>
      <c r="E5" s="2" t="n">
        <v>0.79</v>
      </c>
      <c r="F5" s="2" t="n">
        <v>1.185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0.474</v>
      </c>
      <c r="E6" s="2" t="n">
        <v>0.677</v>
      </c>
      <c r="F6" s="2" t="n">
        <v>1.016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0.514</v>
      </c>
      <c r="E7" s="2" t="n">
        <v>0.734</v>
      </c>
      <c r="F7" s="2" t="n">
        <v>1.101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0.632</v>
      </c>
      <c r="E8" s="2" t="n">
        <v>0.903</v>
      </c>
      <c r="F8" s="2" t="n">
        <v>1.355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Cooling Systems</t>
        </is>
      </c>
      <c r="D9" s="2" t="n">
        <v>0.474</v>
      </c>
      <c r="E9" s="2" t="n">
        <v>0.677</v>
      </c>
      <c r="F9" s="2" t="n">
        <v>1.016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Direct Labour</t>
        </is>
      </c>
      <c r="D10" s="2" t="n">
        <v>0.356</v>
      </c>
      <c r="E10" s="2" t="n">
        <v>0.508</v>
      </c>
      <c r="F10" s="2" t="n">
        <v>0.762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0.395</v>
      </c>
      <c r="E11" s="2" t="n">
        <v>0.5639999999999999</v>
      </c>
      <c r="F11" s="2" t="n">
        <v>0.846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0.158</v>
      </c>
      <c r="E12" s="2" t="n">
        <v>0.226</v>
      </c>
      <c r="F12" s="2" t="n">
        <v>0.339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0.276</v>
      </c>
      <c r="E13" s="2" t="n">
        <v>0.395</v>
      </c>
      <c r="F13" s="2" t="n">
        <v>0.593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0.276</v>
      </c>
      <c r="E14" s="2" t="n">
        <v>0.395</v>
      </c>
      <c r="F14" s="2" t="n">
        <v>0.593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0.118</v>
      </c>
      <c r="E15" s="2" t="n">
        <v>0.169</v>
      </c>
      <c r="F15" s="2" t="n">
        <v>0.254</v>
      </c>
      <c r="G15" s="2" t="inlineStr">
        <is>
          <t>1-15% definition maturity</t>
        </is>
      </c>
    </row>
    <row r="16">
      <c r="A16" s="2" t="inlineStr">
        <is>
          <t>4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0.237</v>
      </c>
      <c r="E16" s="2" t="n">
        <v>0.339</v>
      </c>
      <c r="F16" s="2" t="n">
        <v>0.509</v>
      </c>
      <c r="G16" s="2" t="inlineStr">
        <is>
          <t>1-15% definition maturity</t>
        </is>
      </c>
    </row>
    <row r="17">
      <c r="A17" s="2" t="inlineStr">
        <is>
          <t>4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0.118</v>
      </c>
      <c r="E17" s="2" t="n">
        <v>0.169</v>
      </c>
      <c r="F17" s="2" t="n">
        <v>0.254</v>
      </c>
      <c r="G17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0.17</v>
      </c>
      <c r="E2" s="2" t="n">
        <v>0.339</v>
      </c>
      <c r="F2" s="2" t="n">
        <v>0.678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0.226</v>
      </c>
      <c r="E3" s="2" t="n">
        <v>0.451</v>
      </c>
      <c r="F3" s="2" t="n">
        <v>0.902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0.395</v>
      </c>
      <c r="E4" s="2" t="n">
        <v>0.79</v>
      </c>
      <c r="F4" s="2" t="n">
        <v>1.58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0.395</v>
      </c>
      <c r="E5" s="2" t="n">
        <v>0.79</v>
      </c>
      <c r="F5" s="2" t="n">
        <v>1.58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0.339</v>
      </c>
      <c r="E6" s="2" t="n">
        <v>0.677</v>
      </c>
      <c r="F6" s="2" t="n">
        <v>1.354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0.367</v>
      </c>
      <c r="E7" s="2" t="n">
        <v>0.734</v>
      </c>
      <c r="F7" s="2" t="n">
        <v>1.468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0.452</v>
      </c>
      <c r="E8" s="2" t="n">
        <v>0.903</v>
      </c>
      <c r="F8" s="2" t="n">
        <v>1.806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Cooling Systems</t>
        </is>
      </c>
      <c r="D9" s="2" t="n">
        <v>0.339</v>
      </c>
      <c r="E9" s="2" t="n">
        <v>0.677</v>
      </c>
      <c r="F9" s="2" t="n">
        <v>1.354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Direct Labour</t>
        </is>
      </c>
      <c r="D10" s="2" t="n">
        <v>0.254</v>
      </c>
      <c r="E10" s="2" t="n">
        <v>0.508</v>
      </c>
      <c r="F10" s="2" t="n">
        <v>1.016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0.282</v>
      </c>
      <c r="E11" s="2" t="n">
        <v>0.5639999999999999</v>
      </c>
      <c r="F11" s="2" t="n">
        <v>1.128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0.113</v>
      </c>
      <c r="E12" s="2" t="n">
        <v>0.226</v>
      </c>
      <c r="F12" s="2" t="n">
        <v>0.452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0.198</v>
      </c>
      <c r="E13" s="2" t="n">
        <v>0.395</v>
      </c>
      <c r="F13" s="2" t="n">
        <v>0.79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0.198</v>
      </c>
      <c r="E14" s="2" t="n">
        <v>0.395</v>
      </c>
      <c r="F14" s="2" t="n">
        <v>0.79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0.08500000000000001</v>
      </c>
      <c r="E15" s="2" t="n">
        <v>0.169</v>
      </c>
      <c r="F15" s="2" t="n">
        <v>0.338</v>
      </c>
      <c r="G15" s="2" t="inlineStr">
        <is>
          <t>0-2% definition maturity</t>
        </is>
      </c>
    </row>
    <row r="16">
      <c r="A16" s="2" t="inlineStr">
        <is>
          <t>5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0.17</v>
      </c>
      <c r="E16" s="2" t="n">
        <v>0.339</v>
      </c>
      <c r="F16" s="2" t="n">
        <v>0.678</v>
      </c>
      <c r="G16" s="2" t="inlineStr">
        <is>
          <t>0-2% definition maturity</t>
        </is>
      </c>
    </row>
    <row r="17">
      <c r="A17" s="2" t="inlineStr">
        <is>
          <t>5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0.08500000000000001</v>
      </c>
      <c r="E17" s="2" t="n">
        <v>0.169</v>
      </c>
      <c r="F17" s="2" t="n">
        <v>0.338</v>
      </c>
      <c r="G17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9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7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7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2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Data halls</t>
        </is>
      </c>
      <c r="D15" s="2" t="inlineStr">
        <is>
          <t>P1000</t>
        </is>
      </c>
      <c r="E15" s="2" t="n">
        <v>2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Cooling plant</t>
        </is>
      </c>
      <c r="D16" s="2" t="inlineStr">
        <is>
          <t>P2000</t>
        </is>
      </c>
      <c r="E16" s="2" t="n">
        <v>2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Power train</t>
        </is>
      </c>
      <c r="D17" s="2" t="inlineStr">
        <is>
          <t>P3000</t>
        </is>
      </c>
      <c r="E17" s="2" t="n">
        <v>2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Controls and commissioning</t>
        </is>
      </c>
      <c r="D18" s="2" t="inlineStr">
        <is>
          <t>P4000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Grid connection - mobilise / method</t>
        </is>
      </c>
      <c r="D15" s="2" t="inlineStr">
        <is>
          <t>A1900</t>
        </is>
      </c>
      <c r="E15" s="2" t="n">
        <v>1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Grid connection - execute works</t>
        </is>
      </c>
      <c r="D16" s="2" t="inlineStr">
        <is>
          <t>P1100</t>
        </is>
      </c>
      <c r="E16" s="2" t="n">
        <v>1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Grid connection - inspect / closeout</t>
        </is>
      </c>
      <c r="D17" s="2" t="inlineStr">
        <is>
          <t>P1200</t>
        </is>
      </c>
      <c r="E17" s="2" t="n">
        <v>1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Data halls</t>
        </is>
      </c>
      <c r="D18" s="2" t="inlineStr">
        <is>
          <t>P1000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Data halls - mobilise / method</t>
        </is>
      </c>
      <c r="D19" s="2" t="inlineStr">
        <is>
          <t>P1000</t>
        </is>
      </c>
      <c r="E19" s="2" t="n">
        <v>1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Data halls - execute works</t>
        </is>
      </c>
      <c r="D20" s="2" t="inlineStr">
        <is>
          <t>P2100</t>
        </is>
      </c>
      <c r="E20" s="2" t="n">
        <v>1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Data halls - inspect / closeout</t>
        </is>
      </c>
      <c r="D21" s="2" t="inlineStr">
        <is>
          <t>P2200</t>
        </is>
      </c>
      <c r="E21" s="2" t="n">
        <v>1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Cooling plant</t>
        </is>
      </c>
      <c r="D22" s="2" t="inlineStr">
        <is>
          <t>P2000</t>
        </is>
      </c>
      <c r="E22" s="2" t="n">
        <v>2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Cooling plant - mobilise / method</t>
        </is>
      </c>
      <c r="D23" s="2" t="inlineStr">
        <is>
          <t>P2000</t>
        </is>
      </c>
      <c r="E23" s="2" t="n">
        <v>1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Cooling plant - execute works</t>
        </is>
      </c>
      <c r="D24" s="2" t="inlineStr">
        <is>
          <t>P3100</t>
        </is>
      </c>
      <c r="E24" s="2" t="n">
        <v>1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Cooling plant - inspect / closeout</t>
        </is>
      </c>
      <c r="D25" s="2" t="inlineStr">
        <is>
          <t>P3200</t>
        </is>
      </c>
      <c r="E25" s="2" t="n">
        <v>1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Power train</t>
        </is>
      </c>
      <c r="D26" s="2" t="inlineStr">
        <is>
          <t>P3000</t>
        </is>
      </c>
      <c r="E26" s="2" t="n">
        <v>2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Power train - mobilise / method</t>
        </is>
      </c>
      <c r="D27" s="2" t="inlineStr">
        <is>
          <t>P3000</t>
        </is>
      </c>
      <c r="E27" s="2" t="n">
        <v>1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Power train - execute works</t>
        </is>
      </c>
      <c r="D28" s="2" t="inlineStr">
        <is>
          <t>P4100</t>
        </is>
      </c>
      <c r="E28" s="2" t="n">
        <v>1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Power train - inspect / closeout</t>
        </is>
      </c>
      <c r="D29" s="2" t="inlineStr">
        <is>
          <t>P4200</t>
        </is>
      </c>
      <c r="E29" s="2" t="n">
        <v>1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Controls and commissioning</t>
        </is>
      </c>
      <c r="D30" s="2" t="inlineStr">
        <is>
          <t>P4000</t>
        </is>
      </c>
      <c r="E30" s="2" t="n">
        <v>2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Controls and commissioning - mobilise / method</t>
        </is>
      </c>
      <c r="D31" s="2" t="inlineStr">
        <is>
          <t>P4000</t>
        </is>
      </c>
      <c r="E31" s="2" t="n">
        <v>1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Controls and commissioning - execute works</t>
        </is>
      </c>
      <c r="D32" s="2" t="inlineStr">
        <is>
          <t>P5100</t>
        </is>
      </c>
      <c r="E32" s="2" t="n">
        <v>1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Controls and commissioning - inspect / closeout</t>
        </is>
      </c>
      <c r="D33" s="2" t="inlineStr">
        <is>
          <t>P5200</t>
        </is>
      </c>
      <c r="E33" s="2" t="n">
        <v>1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Utilities</t>
        </is>
      </c>
      <c r="D2" s="2" t="n">
        <v>48</v>
      </c>
      <c r="E2" s="2" t="inlineStr">
        <is>
          <t>A1400</t>
        </is>
      </c>
      <c r="F2" s="2" t="inlineStr">
        <is>
          <t>01.04</t>
        </is>
      </c>
      <c r="G2" s="2" t="n">
        <v>20</v>
      </c>
      <c r="H2" s="2" t="n">
        <v>80</v>
      </c>
      <c r="I2" s="2" t="n">
        <v>220</v>
      </c>
      <c r="J2" s="2" t="n">
        <v>0.169</v>
      </c>
      <c r="K2" s="2" t="n">
        <v>0.5639999999999999</v>
      </c>
      <c r="L2" s="2" t="n">
        <v>1.241</v>
      </c>
      <c r="M2" s="2" t="inlineStr">
        <is>
          <t>Utilities Lead</t>
        </is>
      </c>
      <c r="N2" s="2" t="inlineStr">
        <is>
          <t>Grid agreement unsigned</t>
        </is>
      </c>
      <c r="O2" s="2" t="inlineStr">
        <is>
          <t>Secure grid agreement, temporary power, early equipment orders</t>
        </is>
      </c>
      <c r="P2" s="2" t="inlineStr">
        <is>
          <t>Cost impact derived from 01.04 MEP / Systems / Utilities exposure, project P50 $5.6B, and risk severity (3%/10%/22%).</t>
        </is>
      </c>
      <c r="Q2" s="2" t="inlineStr">
        <is>
          <t>Schedule impact mapped to A1400 Planning, regulatory and stakeholder approvals with O/M/P delay 20/80/220 days and critical path sensitivity.</t>
        </is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Commercial</t>
        </is>
      </c>
      <c r="D3" s="2" t="n">
        <v>45</v>
      </c>
      <c r="E3" s="2" t="inlineStr">
        <is>
          <t>A1700</t>
        </is>
      </c>
      <c r="F3" s="2" t="inlineStr">
        <is>
          <t>01.07</t>
        </is>
      </c>
      <c r="G3" s="2" t="n">
        <v>0</v>
      </c>
      <c r="H3" s="2" t="n">
        <v>0</v>
      </c>
      <c r="I3" s="2" t="n">
        <v>0</v>
      </c>
      <c r="J3" s="2" t="n">
        <v>0.226</v>
      </c>
      <c r="K3" s="2" t="n">
        <v>0.5639999999999999</v>
      </c>
      <c r="L3" s="2" t="n">
        <v>1.129</v>
      </c>
      <c r="M3" s="2" t="inlineStr">
        <is>
          <t>Commercial Lead</t>
        </is>
      </c>
      <c r="N3" s="2" t="inlineStr">
        <is>
          <t>Index exceeds allowance</t>
        </is>
      </c>
      <c r="O3" s="2" t="inlineStr">
        <is>
          <t>Early procurement, index strategy, market testing</t>
        </is>
      </c>
      <c r="P3" s="2" t="inlineStr">
        <is>
          <t>Cost impact derived from 01.07 Power Train / Substations exposure, project P50 $5.6B, and risk severity (4%/10%/20%).</t>
        </is>
      </c>
      <c r="Q3" s="2" t="inlineStr">
        <is>
          <t>Schedule impact mapped to A1700 Long-lead procurement with O/M/P delay 0/0/0 days and critical path sensitivity.</t>
        </is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Technical</t>
        </is>
      </c>
      <c r="D4" s="2" t="n">
        <v>38</v>
      </c>
      <c r="E4" s="2" t="inlineStr">
        <is>
          <t>A1900</t>
        </is>
      </c>
      <c r="F4" s="2" t="inlineStr">
        <is>
          <t>01.09</t>
        </is>
      </c>
      <c r="G4" s="2" t="n">
        <v>15</v>
      </c>
      <c r="H4" s="2" t="n">
        <v>45</v>
      </c>
      <c r="I4" s="2" t="n">
        <v>120</v>
      </c>
      <c r="J4" s="2" t="n">
        <v>0.169</v>
      </c>
      <c r="K4" s="2" t="n">
        <v>0.508</v>
      </c>
      <c r="L4" s="2" t="n">
        <v>1.016</v>
      </c>
      <c r="M4" s="2" t="inlineStr">
        <is>
          <t>Design Manager</t>
        </is>
      </c>
      <c r="N4" s="2" t="inlineStr">
        <is>
          <t>Deliverables late</t>
        </is>
      </c>
      <c r="O4" s="2" t="inlineStr">
        <is>
          <t>Design maturity gates and independent review</t>
        </is>
      </c>
      <c r="P4" s="2" t="inlineStr">
        <is>
          <t>Cost impact derived from 01.09 Direct Labour exposure, project P50 $5.6B, and risk severity (3%/9%/18%).</t>
        </is>
      </c>
      <c r="Q4" s="2" t="inlineStr">
        <is>
          <t>Schedule impact mapped to A1900 Main construction / fabrication / assembly with O/M/P delay 15/45/120 days and critical path sensitivity.</t>
        </is>
      </c>
    </row>
    <row r="5">
      <c r="A5" s="2" t="inlineStr">
        <is>
          <t>R-001</t>
        </is>
      </c>
      <c r="B5" s="2" t="inlineStr">
        <is>
          <t>Scope growth</t>
        </is>
      </c>
      <c r="C5" s="2" t="inlineStr">
        <is>
          <t>Scope</t>
        </is>
      </c>
      <c r="D5" s="2" t="n">
        <v>42</v>
      </c>
      <c r="E5" s="2" t="inlineStr">
        <is>
          <t>A1600</t>
        </is>
      </c>
      <c r="F5" s="2" t="inlineStr">
        <is>
          <t>01.06</t>
        </is>
      </c>
      <c r="G5" s="2" t="n">
        <v>15</v>
      </c>
      <c r="H5" s="2" t="n">
        <v>45</v>
      </c>
      <c r="I5" s="2" t="n">
        <v>120</v>
      </c>
      <c r="J5" s="2" t="n">
        <v>0.169</v>
      </c>
      <c r="K5" s="2" t="n">
        <v>0.451</v>
      </c>
      <c r="L5" s="2" t="n">
        <v>0.903</v>
      </c>
      <c r="M5" s="2" t="inlineStr">
        <is>
          <t>Project Director</t>
        </is>
      </c>
      <c r="N5" s="2" t="inlineStr">
        <is>
          <t>Scope change rate exceeds threshold</t>
        </is>
      </c>
      <c r="O5" s="2" t="inlineStr">
        <is>
          <t>Freeze scope, change board, value gates</t>
        </is>
      </c>
      <c r="P5" s="2" t="inlineStr">
        <is>
          <t>Cost impact derived from 01.06 Data Halls / White Space exposure, project P50 $5.6B, and risk severity (3%/8%/16%).</t>
        </is>
      </c>
      <c r="Q5" s="2" t="inlineStr">
        <is>
          <t>Schedule impact mapped to A1600 Detailed design / IFC development with O/M/P delay 15/45/120 days and critical path sensitivity.</t>
        </is>
      </c>
    </row>
    <row r="6">
      <c r="A6" s="2" t="inlineStr">
        <is>
          <t>R-006</t>
        </is>
      </c>
      <c r="B6" s="2" t="inlineStr">
        <is>
          <t>Productivity underperformance</t>
        </is>
      </c>
      <c r="C6" s="2" t="inlineStr">
        <is>
          <t>Delivery</t>
        </is>
      </c>
      <c r="D6" s="2" t="n">
        <v>35</v>
      </c>
      <c r="E6" s="2" t="inlineStr">
        <is>
          <t>A2100</t>
        </is>
      </c>
      <c r="F6" s="2" t="inlineStr">
        <is>
          <t>01.11</t>
        </is>
      </c>
      <c r="G6" s="2" t="n">
        <v>15</v>
      </c>
      <c r="H6" s="2" t="n">
        <v>50</v>
      </c>
      <c r="I6" s="2" t="n">
        <v>130</v>
      </c>
      <c r="J6" s="2" t="n">
        <v>0.169</v>
      </c>
      <c r="K6" s="2" t="n">
        <v>0.451</v>
      </c>
      <c r="L6" s="2" t="n">
        <v>0.903</v>
      </c>
      <c r="M6" s="2" t="inlineStr">
        <is>
          <t>Delivery Lead</t>
        </is>
      </c>
      <c r="N6" s="2" t="inlineStr">
        <is>
          <t>SPI/CPI deteriorates</t>
        </is>
      </c>
      <c r="O6" s="2" t="inlineStr">
        <is>
          <t>Package productivity controls and daily planning</t>
        </is>
      </c>
      <c r="P6" s="2" t="inlineStr">
        <is>
          <t>Cost impact derived from 01.11 Plant / Equipment exposure, project P50 $5.6B, and risk severity (3%/8%/16%).</t>
        </is>
      </c>
      <c r="Q6" s="2" t="inlineStr">
        <is>
          <t>Schedule impact mapped to A2100 Commissioning, operations readiness and closeout with O/M/P delay 15/50/130 days and critical path sensitivity.</t>
        </is>
      </c>
    </row>
    <row r="7">
      <c r="A7" s="2" t="inlineStr">
        <is>
          <t>R-005</t>
        </is>
      </c>
      <c r="B7" s="2" t="inlineStr">
        <is>
          <t>Supply chain delay</t>
        </is>
      </c>
      <c r="C7" s="2" t="inlineStr">
        <is>
          <t>Procurement</t>
        </is>
      </c>
      <c r="D7" s="2" t="n">
        <v>40</v>
      </c>
      <c r="E7" s="2" t="inlineStr">
        <is>
          <t>A2000</t>
        </is>
      </c>
      <c r="F7" s="2" t="inlineStr">
        <is>
          <t>01.10</t>
        </is>
      </c>
      <c r="G7" s="2" t="n">
        <v>10</v>
      </c>
      <c r="H7" s="2" t="n">
        <v>40</v>
      </c>
      <c r="I7" s="2" t="n">
        <v>120</v>
      </c>
      <c r="J7" s="2" t="n">
        <v>0.113</v>
      </c>
      <c r="K7" s="2" t="n">
        <v>0.395</v>
      </c>
      <c r="L7" s="2" t="n">
        <v>0.846</v>
      </c>
      <c r="M7" s="2" t="inlineStr">
        <is>
          <t>Procurement Lead</t>
        </is>
      </c>
      <c r="N7" s="2" t="inlineStr">
        <is>
          <t>Supplier promise date slips</t>
        </is>
      </c>
      <c r="O7" s="2" t="inlineStr">
        <is>
          <t>Alternate suppliers, early orders, expediting</t>
        </is>
      </c>
      <c r="P7" s="2" t="inlineStr">
        <is>
          <t>Cost impact derived from 01.10 Direct Materials exposure, project P50 $5.6B, and risk severity (2%/7%/15%).</t>
        </is>
      </c>
      <c r="Q7" s="2" t="inlineStr">
        <is>
          <t>Schedule impact mapped to A2000 Systems integration and testing with O/M/P delay 10/40/120 days and critical path sensitivity.</t>
        </is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Technical</t>
        </is>
      </c>
      <c r="D8" s="2" t="n">
        <v>34</v>
      </c>
      <c r="E8" s="2" t="inlineStr">
        <is>
          <t>A1500</t>
        </is>
      </c>
      <c r="F8" s="2" t="inlineStr">
        <is>
          <t>01.05</t>
        </is>
      </c>
      <c r="G8" s="2" t="n">
        <v>10</v>
      </c>
      <c r="H8" s="2" t="n">
        <v>40</v>
      </c>
      <c r="I8" s="2" t="n">
        <v>120</v>
      </c>
      <c r="J8" s="2" t="n">
        <v>0.113</v>
      </c>
      <c r="K8" s="2" t="n">
        <v>0.395</v>
      </c>
      <c r="L8" s="2" t="n">
        <v>0.846</v>
      </c>
      <c r="M8" s="2" t="inlineStr">
        <is>
          <t>MEP Lead</t>
        </is>
      </c>
      <c r="N8" s="2" t="inlineStr">
        <is>
          <t>Cooling tests fail</t>
        </is>
      </c>
      <c r="O8" s="2" t="inlineStr">
        <is>
          <t>Early thermal modelling and supplier validation</t>
        </is>
      </c>
      <c r="P8" s="2" t="inlineStr">
        <is>
          <t>Cost impact derived from 01.05 Specialist Equipment / Fit-Out exposure, project P50 $5.6B, and risk severity (2%/7%/15%).</t>
        </is>
      </c>
      <c r="Q8" s="2" t="inlineStr">
        <is>
          <t>Schedule impact mapped to A1500 Procurement strategy and tender packaging with O/M/P delay 10/40/120 days and critical path sensitivity.</t>
        </is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Integration</t>
        </is>
      </c>
      <c r="D9" s="2" t="n">
        <v>34</v>
      </c>
      <c r="E9" s="2" t="inlineStr">
        <is>
          <t>P2000</t>
        </is>
      </c>
      <c r="F9" s="2" t="inlineStr">
        <is>
          <t>02.02</t>
        </is>
      </c>
      <c r="G9" s="2" t="n">
        <v>10</v>
      </c>
      <c r="H9" s="2" t="n">
        <v>35</v>
      </c>
      <c r="I9" s="2" t="n">
        <v>100</v>
      </c>
      <c r="J9" s="2" t="n">
        <v>0.113</v>
      </c>
      <c r="K9" s="2" t="n">
        <v>0.395</v>
      </c>
      <c r="L9" s="2" t="n">
        <v>0.79</v>
      </c>
      <c r="M9" s="2" t="inlineStr">
        <is>
          <t>Integration Manager</t>
        </is>
      </c>
      <c r="N9" s="2" t="inlineStr">
        <is>
          <t>Interface actions overdue</t>
        </is>
      </c>
      <c r="O9" s="2" t="inlineStr">
        <is>
          <t>ICDs and weekly interface board</t>
        </is>
      </c>
      <c r="P9" s="2" t="inlineStr">
        <is>
          <t>Cost impact derived from 02.02 Design / Professional Fees exposure, project P50 $5.6B, and risk severity (2%/7%/14%).</t>
        </is>
      </c>
      <c r="Q9" s="2" t="inlineStr">
        <is>
          <t>Schedule impact mapped to P2000 Data halls with O/M/P delay 10/35/100 days and critical path sensitivity.</t>
        </is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Handover</t>
        </is>
      </c>
      <c r="D10" s="2" t="n">
        <v>32</v>
      </c>
      <c r="E10" s="2" t="inlineStr">
        <is>
          <t>P1000</t>
        </is>
      </c>
      <c r="F10" s="2" t="inlineStr">
        <is>
          <t>02.01</t>
        </is>
      </c>
      <c r="G10" s="2" t="n">
        <v>10</v>
      </c>
      <c r="H10" s="2" t="n">
        <v>35</v>
      </c>
      <c r="I10" s="2" t="n">
        <v>100</v>
      </c>
      <c r="J10" s="2" t="n">
        <v>0.113</v>
      </c>
      <c r="K10" s="2" t="n">
        <v>0.339</v>
      </c>
      <c r="L10" s="2" t="n">
        <v>0.677</v>
      </c>
      <c r="M10" s="2" t="inlineStr">
        <is>
          <t>Commissioning Lead</t>
        </is>
      </c>
      <c r="N10" s="2" t="inlineStr">
        <is>
          <t>Test failures trend upward</t>
        </is>
      </c>
      <c r="O10" s="2" t="inlineStr">
        <is>
          <t>Commissioning readiness and early test plans</t>
        </is>
      </c>
      <c r="P10" s="2" t="inlineStr">
        <is>
          <t>Cost impact derived from 02.01 General Conditions / Prelims exposure, project P50 $5.6B, and risk severity (2%/6%/12%).</t>
        </is>
      </c>
      <c r="Q10" s="2" t="inlineStr">
        <is>
          <t>Schedule impact mapped to P1000 Grid connection with O/M/P delay 10/35/100 days and critical path sensitivity.</t>
        </is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Regulatory</t>
        </is>
      </c>
      <c r="D11" s="2" t="n">
        <v>35</v>
      </c>
      <c r="E11" s="2" t="inlineStr">
        <is>
          <t>A1800</t>
        </is>
      </c>
      <c r="F11" s="2" t="inlineStr">
        <is>
          <t>01.08</t>
        </is>
      </c>
      <c r="G11" s="2" t="n">
        <v>20</v>
      </c>
      <c r="H11" s="2" t="n">
        <v>70</v>
      </c>
      <c r="I11" s="2" t="n">
        <v>180</v>
      </c>
      <c r="J11" s="2" t="n">
        <v>0.056</v>
      </c>
      <c r="K11" s="2" t="n">
        <v>0.226</v>
      </c>
      <c r="L11" s="2" t="n">
        <v>0.451</v>
      </c>
      <c r="M11" s="2" t="inlineStr">
        <is>
          <t>Consents Lead</t>
        </is>
      </c>
      <c r="N11" s="2" t="inlineStr">
        <is>
          <t>Consent milestone slips</t>
        </is>
      </c>
      <c r="O11" s="2" t="inlineStr">
        <is>
          <t>Authority plan, consent tracker, early submissions</t>
        </is>
      </c>
      <c r="P11" s="2" t="inlineStr">
        <is>
          <t>Cost impact derived from 01.08 Cooling Systems exposure, project P50 $5.6B, and risk severity (1%/4%/8%).</t>
        </is>
      </c>
      <c r="Q11" s="2" t="inlineStr">
        <is>
          <t>Schedule impact mapped to A1800 Site / launch integration readiness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5.765</v>
      </c>
      <c r="C2" s="2" t="n">
        <v>45.81</v>
      </c>
    </row>
    <row r="3">
      <c r="A3" s="2" t="n">
        <v>5</v>
      </c>
      <c r="B3" s="2" t="n">
        <v>6.221</v>
      </c>
      <c r="C3" s="2" t="n">
        <v>47.82</v>
      </c>
    </row>
    <row r="4">
      <c r="A4" s="2" t="n">
        <v>10</v>
      </c>
      <c r="B4" s="2" t="n">
        <v>6.517</v>
      </c>
      <c r="C4" s="2" t="n">
        <v>49.12</v>
      </c>
    </row>
    <row r="5">
      <c r="A5" s="2" t="n">
        <v>20</v>
      </c>
      <c r="B5" s="2" t="n">
        <v>6.861</v>
      </c>
      <c r="C5" s="2" t="n">
        <v>50.87</v>
      </c>
    </row>
    <row r="6">
      <c r="A6" s="2" t="n">
        <v>30</v>
      </c>
      <c r="B6" s="2" t="n">
        <v>7.133</v>
      </c>
      <c r="C6" s="2" t="n">
        <v>52.14</v>
      </c>
    </row>
    <row r="7">
      <c r="A7" s="2" t="n">
        <v>40</v>
      </c>
      <c r="B7" s="2" t="n">
        <v>7.363</v>
      </c>
      <c r="C7" s="2" t="n">
        <v>53.26</v>
      </c>
    </row>
    <row r="8">
      <c r="A8" s="2" t="n">
        <v>50</v>
      </c>
      <c r="B8" s="2" t="n">
        <v>7.591</v>
      </c>
      <c r="C8" s="2" t="n">
        <v>54.37</v>
      </c>
    </row>
    <row r="9">
      <c r="A9" s="2" t="n">
        <v>60</v>
      </c>
      <c r="B9" s="2" t="n">
        <v>7.833</v>
      </c>
      <c r="C9" s="2" t="n">
        <v>55.48</v>
      </c>
    </row>
    <row r="10">
      <c r="A10" s="2" t="n">
        <v>70</v>
      </c>
      <c r="B10" s="2" t="n">
        <v>8.073</v>
      </c>
      <c r="C10" s="2" t="n">
        <v>56.62</v>
      </c>
    </row>
    <row r="11">
      <c r="A11" s="2" t="n">
        <v>80</v>
      </c>
      <c r="B11" s="2" t="n">
        <v>8.380000000000001</v>
      </c>
      <c r="C11" s="2" t="n">
        <v>58.08</v>
      </c>
    </row>
    <row r="12">
      <c r="A12" s="2" t="n">
        <v>90</v>
      </c>
      <c r="B12" s="2" t="n">
        <v>8.782</v>
      </c>
      <c r="C12" s="2" t="n">
        <v>60.02</v>
      </c>
    </row>
    <row r="13">
      <c r="A13" s="2" t="n">
        <v>95</v>
      </c>
      <c r="B13" s="2" t="n">
        <v>9.156000000000001</v>
      </c>
      <c r="C13" s="2" t="n">
        <v>61.71</v>
      </c>
    </row>
    <row r="14">
      <c r="A14" s="2" t="n">
        <v>99</v>
      </c>
      <c r="B14" s="2" t="n">
        <v>9.771000000000001</v>
      </c>
      <c r="C14" s="2" t="n">
        <v>65.05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A1400</t>
        </is>
      </c>
      <c r="D2" s="2" t="inlineStr">
        <is>
          <t>01.04</t>
        </is>
      </c>
      <c r="E2" s="2" t="n">
        <v>0.317</v>
      </c>
      <c r="F2" s="2" t="n">
        <v>51.9</v>
      </c>
      <c r="G2" s="2" t="n">
        <v>36.88</v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A1700</t>
        </is>
      </c>
      <c r="D3" s="2" t="inlineStr">
        <is>
          <t>01.07</t>
        </is>
      </c>
      <c r="E3" s="2" t="n">
        <v>0.285</v>
      </c>
      <c r="F3" s="2" t="n">
        <v>0</v>
      </c>
      <c r="G3" s="2" t="n">
        <v>28.48</v>
      </c>
    </row>
    <row r="4">
      <c r="A4" s="2" t="inlineStr">
        <is>
          <t>R-001</t>
        </is>
      </c>
      <c r="B4" s="2" t="inlineStr">
        <is>
          <t>Scope growth</t>
        </is>
      </c>
      <c r="C4" s="2" t="inlineStr">
        <is>
          <t>A1600</t>
        </is>
      </c>
      <c r="D4" s="2" t="inlineStr">
        <is>
          <t>01.06</t>
        </is>
      </c>
      <c r="E4" s="2" t="n">
        <v>0.207</v>
      </c>
      <c r="F4" s="2" t="n">
        <v>24.8</v>
      </c>
      <c r="G4" s="2" t="n">
        <v>23.15</v>
      </c>
    </row>
    <row r="5">
      <c r="A5" s="2" t="inlineStr">
        <is>
          <t>R-004</t>
        </is>
      </c>
      <c r="B5" s="2" t="inlineStr">
        <is>
          <t>Design maturity gap</t>
        </is>
      </c>
      <c r="C5" s="2" t="inlineStr">
        <is>
          <t>A1900</t>
        </is>
      </c>
      <c r="D5" s="2" t="inlineStr">
        <is>
          <t>01.09</t>
        </is>
      </c>
      <c r="E5" s="2" t="n">
        <v>0.208</v>
      </c>
      <c r="F5" s="2" t="n">
        <v>22.2</v>
      </c>
      <c r="G5" s="2" t="n">
        <v>23.05</v>
      </c>
    </row>
    <row r="6">
      <c r="A6" s="2" t="inlineStr">
        <is>
          <t>R-005</t>
        </is>
      </c>
      <c r="B6" s="2" t="inlineStr">
        <is>
          <t>Supply chain delay</t>
        </is>
      </c>
      <c r="C6" s="2" t="inlineStr">
        <is>
          <t>A2000</t>
        </is>
      </c>
      <c r="D6" s="2" t="inlineStr">
        <is>
          <t>01.10</t>
        </is>
      </c>
      <c r="E6" s="2" t="n">
        <v>0.177</v>
      </c>
      <c r="F6" s="2" t="n">
        <v>22.6</v>
      </c>
      <c r="G6" s="2" t="n">
        <v>19.99</v>
      </c>
    </row>
    <row r="7">
      <c r="A7" s="2" t="inlineStr">
        <is>
          <t>R-006</t>
        </is>
      </c>
      <c r="B7" s="2" t="inlineStr">
        <is>
          <t>Productivity underperformance</t>
        </is>
      </c>
      <c r="C7" s="2" t="inlineStr">
        <is>
          <t>A2100</t>
        </is>
      </c>
      <c r="D7" s="2" t="inlineStr">
        <is>
          <t>01.11</t>
        </is>
      </c>
      <c r="E7" s="2" t="n">
        <v>0.177</v>
      </c>
      <c r="F7" s="2" t="n">
        <v>22.9</v>
      </c>
      <c r="G7" s="2" t="n">
        <v>19.98</v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A1500</t>
        </is>
      </c>
      <c r="D8" s="2" t="inlineStr">
        <is>
          <t>01.05</t>
        </is>
      </c>
      <c r="E8" s="2" t="n">
        <v>0.148</v>
      </c>
      <c r="F8" s="2" t="n">
        <v>18.5</v>
      </c>
      <c r="G8" s="2" t="n">
        <v>16.67</v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P2000</t>
        </is>
      </c>
      <c r="D9" s="2" t="inlineStr">
        <is>
          <t>02.02</t>
        </is>
      </c>
      <c r="E9" s="2" t="n">
        <v>0.146</v>
      </c>
      <c r="F9" s="2" t="n">
        <v>16.5</v>
      </c>
      <c r="G9" s="2" t="n">
        <v>16.25</v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P1000</t>
        </is>
      </c>
      <c r="D10" s="2" t="inlineStr">
        <is>
          <t>02.01</t>
        </is>
      </c>
      <c r="E10" s="2" t="n">
        <v>0.12</v>
      </c>
      <c r="F10" s="2" t="n">
        <v>15.6</v>
      </c>
      <c r="G10" s="2" t="n">
        <v>13.6</v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A1800</t>
        </is>
      </c>
      <c r="D11" s="2" t="inlineStr">
        <is>
          <t>01.08</t>
        </is>
      </c>
      <c r="E11" s="2" t="n">
        <v>0.08599999999999999</v>
      </c>
      <c r="F11" s="2" t="n">
        <v>31.5</v>
      </c>
      <c r="G11" s="2" t="n">
        <v>11.75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$5.6B</t>
        </is>
      </c>
      <c r="C2" s="2" t="n">
        <v>46</v>
      </c>
      <c r="D2" s="2" t="inlineStr">
        <is>
          <t>Medium</t>
        </is>
      </c>
      <c r="E2" s="2" t="n">
        <v>64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$6.3B</t>
        </is>
      </c>
      <c r="C3" s="2" t="n">
        <v>38</v>
      </c>
      <c r="D3" s="2" t="inlineStr">
        <is>
          <t>Medium</t>
        </is>
      </c>
      <c r="E3" s="2" t="n">
        <v>59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$5.0B</t>
        </is>
      </c>
      <c r="C4" s="2" t="n">
        <v>50</v>
      </c>
      <c r="D4" s="2" t="inlineStr">
        <is>
          <t>Medium</t>
        </is>
      </c>
      <c r="E4" s="2" t="n">
        <v>58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$6.2B</t>
        </is>
      </c>
      <c r="C5" s="2" t="n">
        <v>51</v>
      </c>
      <c r="D5" s="2" t="inlineStr">
        <is>
          <t>Low</t>
        </is>
      </c>
      <c r="E5" s="2" t="n">
        <v>77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$6.5B</t>
        </is>
      </c>
      <c r="C6" s="2" t="n">
        <v>48</v>
      </c>
      <c r="D6" s="2" t="inlineStr">
        <is>
          <t>Low</t>
        </is>
      </c>
      <c r="E6" s="2" t="n">
        <v>80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$5.5B</t>
        </is>
      </c>
      <c r="C7" s="2" t="n">
        <v>46</v>
      </c>
      <c r="D7" s="2" t="inlineStr">
        <is>
          <t>Low</t>
        </is>
      </c>
      <c r="E7" s="2" t="n">
        <v>71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$4.4B</t>
        </is>
      </c>
      <c r="C8" s="2" t="n">
        <v>55</v>
      </c>
      <c r="D8" s="2" t="inlineStr">
        <is>
          <t>Medium</t>
        </is>
      </c>
      <c r="E8" s="2" t="n">
        <v>54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Hyperscale delivery benchmark</t>
        </is>
      </c>
      <c r="B2" s="2" t="inlineStr">
        <is>
          <t>$8M-$18M per MW equivalent</t>
        </is>
      </c>
      <c r="C2" s="2" t="inlineStr">
        <is>
          <t>Varies by power density, grid scope, cooling, land and regional constraints.</t>
        </is>
      </c>
    </row>
    <row r="3">
      <c r="A3" s="2" t="inlineStr">
        <is>
          <t>Schedule benchmark</t>
        </is>
      </c>
      <c r="B3" s="2" t="inlineStr">
        <is>
          <t>30-60 months</t>
        </is>
      </c>
      <c r="C3" s="2" t="inlineStr">
        <is>
          <t>Driven by grid connection, long-lead electrical equipment and phased fit-out.</t>
        </is>
      </c>
    </row>
    <row r="4">
      <c r="A4" s="2" t="inlineStr">
        <is>
          <t>Top benchmark gap</t>
        </is>
      </c>
      <c r="B4" s="2" t="inlineStr">
        <is>
          <t>Power availability</t>
        </is>
      </c>
      <c r="C4" s="2" t="inlineStr">
        <is>
          <t>Grid connection is frequently the dominant schedule and risk driver.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2026-05-02T19:14:58Z</dcterms:created>
  <dcterms:modified xmlns:dcterms="http://purl.org/dc/terms/" xmlns:xsi="http://www.w3.org/2001/XMLSchema-instance" xsi:type="dcterms:W3CDTF">2026-05-02T19:14:58Z</dcterms:modified>
</cp:coreProperties>
</file>