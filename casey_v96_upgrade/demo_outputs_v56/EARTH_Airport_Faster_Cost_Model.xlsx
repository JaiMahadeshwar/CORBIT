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ntrol Centre" sheetId="1" r:id="rId1"/>
    <sheet name="01 Scenario Comparison" sheetId="2" r:id="rId2"/>
    <sheet name="02 Cost Selected" sheetId="3" r:id="rId3"/>
    <sheet name="03 Cost All Classes" sheetId="4" r:id="rId4"/>
    <sheet name="04 Risk Register" sheetId="5" r:id="rId5"/>
    <sheet name="05 QCRA QSRA Curves" sheetId="6" r:id="rId6"/>
    <sheet name="06 Tornado Drivers" sheetId="7" r:id="rId7"/>
    <sheet name="07 Schedule Levels" sheetId="8" r:id="rId8"/>
    <sheet name="08 Basis + Audit" sheetId="9" r:id="rId9"/>
  </sheets>
  <calcPr calcId="124519" fullCalcOnLoad="1"/>
</workbook>
</file>

<file path=xl/sharedStrings.xml><?xml version="1.0" encoding="utf-8"?>
<sst xmlns="http://schemas.openxmlformats.org/spreadsheetml/2006/main" count="1446" uniqueCount="496">
  <si>
    <t>CASEY v56 GLOBAL STANDARD OUTPUT PACK — Airport Infrastructure</t>
  </si>
  <si>
    <t>Scenario: Faster | Estimate Class: 3 | Schedule Level: 5 | Generated: 2026-05-05 18:08 UTC</t>
  </si>
  <si>
    <t>P50 Cost</t>
  </si>
  <si>
    <t>$11.5B</t>
  </si>
  <si>
    <t>Cost Range</t>
  </si>
  <si>
    <t>$9.2B - $14.9B</t>
  </si>
  <si>
    <t>QCRA P80</t>
  </si>
  <si>
    <t>$12.7B</t>
  </si>
  <si>
    <t>Schedule</t>
  </si>
  <si>
    <t>87 months</t>
  </si>
  <si>
    <t>QSRA P80</t>
  </si>
  <si>
    <t>91.3 months</t>
  </si>
  <si>
    <t>Risk</t>
  </si>
  <si>
    <t>Medium</t>
  </si>
  <si>
    <t>Confidence</t>
  </si>
  <si>
    <t>59%</t>
  </si>
  <si>
    <t>Decision Engine</t>
  </si>
  <si>
    <t>Use only where time value exceeds cost and interface risk.</t>
  </si>
  <si>
    <t>Compresses delivery through parallel design, early procurement and acceleration premium.</t>
  </si>
  <si>
    <t>Output QA Lock</t>
  </si>
  <si>
    <t>✓</t>
  </si>
  <si>
    <t>Excel generated with XlsxWriter to avoid workbook repair errors</t>
  </si>
  <si>
    <t>No PPTX/PDF in primary pack</t>
  </si>
  <si>
    <t>Scenario visible on every workbook control sheet</t>
  </si>
  <si>
    <t>All class estimates included; selected class clearly identified</t>
  </si>
  <si>
    <t>All schedule levels included; selected level clearly identified</t>
  </si>
  <si>
    <t>Risk register contains no zero likelihood values</t>
  </si>
  <si>
    <t>QCRA and QSRA curves/tornadoes separated</t>
  </si>
  <si>
    <t>SCENARIO COMPARISON — ALL OPTIONS</t>
  </si>
  <si>
    <t>Selected scenario: Faster. These values are scenario-linked and used to drive output interpretation.</t>
  </si>
  <si>
    <t>Scenario</t>
  </si>
  <si>
    <t>P50 Cost BN</t>
  </si>
  <si>
    <t>Delta vs Selected</t>
  </si>
  <si>
    <t>Schedule Months</t>
  </si>
  <si>
    <t>Delta Months</t>
  </si>
  <si>
    <t>QCRA P80 BN</t>
  </si>
  <si>
    <t>QSRA P80 Months</t>
  </si>
  <si>
    <t>Commercial interpretation</t>
  </si>
  <si>
    <t>Board decision</t>
  </si>
  <si>
    <t>Base</t>
  </si>
  <si>
    <t>Balanced reference case for first-pass board challenge and option testing.</t>
  </si>
  <si>
    <t>Use as control baseline; approve definition, not unconditional capital.</t>
  </si>
  <si>
    <t>Faster</t>
  </si>
  <si>
    <t>Cheaper</t>
  </si>
  <si>
    <t>Reduces first cost through value engineering and tighter scope but transfers risk into delivery.</t>
  </si>
  <si>
    <t>Use only if capex pressure dominates and residual risk is accepted.</t>
  </si>
  <si>
    <t>Lower Risk</t>
  </si>
  <si>
    <t>Low</t>
  </si>
  <si>
    <t>Adds surveys, assurance, buffers and procurement validation to improve confidence.</t>
  </si>
  <si>
    <t>Recommended where certainty matters more than lowest first cost.</t>
  </si>
  <si>
    <t>Premium</t>
  </si>
  <si>
    <t>Strengthens suppliers, resilience, design maturity and governance for flagship delivery.</t>
  </si>
  <si>
    <t>Use for mission-critical, reputational or flagship programmes.</t>
  </si>
  <si>
    <t>Investor</t>
  </si>
  <si>
    <t>Frames the programme around capital discipline, risk transparency and investment committee challenge.</t>
  </si>
  <si>
    <t>Use for sponsor, lender, partner or IC review.</t>
  </si>
  <si>
    <t>Survival</t>
  </si>
  <si>
    <t>Minimum viable scope and warning-heavy commercial stress case with high residual risk.</t>
  </si>
  <si>
    <t>Use as a stress case only, not as the preferred baseline.</t>
  </si>
  <si>
    <t>SELECTED CLASS COST ESTIMATE — CLASS 3 — FASTER SCENARIO</t>
  </si>
  <si>
    <t>CBS</t>
  </si>
  <si>
    <t>Description</t>
  </si>
  <si>
    <t>Type</t>
  </si>
  <si>
    <t>Basis</t>
  </si>
  <si>
    <t>P10 BN</t>
  </si>
  <si>
    <t>Most Likely / P50 BN</t>
  </si>
  <si>
    <t>P80 BN</t>
  </si>
  <si>
    <t>P90 BN</t>
  </si>
  <si>
    <t>% of P50</t>
  </si>
  <si>
    <t>Challenge Question</t>
  </si>
  <si>
    <t>01.01</t>
  </si>
  <si>
    <t>Site Preparation / Enabling</t>
  </si>
  <si>
    <t>Direct</t>
  </si>
  <si>
    <t>Demolition, enabling, logistics and access</t>
  </si>
  <si>
    <t>What evidence supports Site Preparation / Enabling at $689M?</t>
  </si>
  <si>
    <t>01.02</t>
  </si>
  <si>
    <t>Substructure / Foundations</t>
  </si>
  <si>
    <t>Piling, groundworks, retaining and foundations</t>
  </si>
  <si>
    <t>What evidence supports Substructure / Foundations at $919M?</t>
  </si>
  <si>
    <t>01.03</t>
  </si>
  <si>
    <t>Superstructure / Civil Works</t>
  </si>
  <si>
    <t>Frame, civils, primary structures</t>
  </si>
  <si>
    <t>What evidence supports Superstructure / Civil Works at $1.6B?</t>
  </si>
  <si>
    <t>01.04</t>
  </si>
  <si>
    <t>MEP / Systems / Utilities</t>
  </si>
  <si>
    <t>Mechanical, electrical, controls and utilities</t>
  </si>
  <si>
    <t>What evidence supports MEP / Systems / Utilities at $1.6B?</t>
  </si>
  <si>
    <t>01.05</t>
  </si>
  <si>
    <t>Specialist Equipment / Fit-Out</t>
  </si>
  <si>
    <t>Permanent equipment and specialist fit-out</t>
  </si>
  <si>
    <t>What evidence supports Specialist Equipment / Fit-Out at $1.4B?</t>
  </si>
  <si>
    <t>01.06</t>
  </si>
  <si>
    <t>Airfield Works</t>
  </si>
  <si>
    <t>Runway, taxiway, apron and airfield systems</t>
  </si>
  <si>
    <t>What evidence supports Airfield Works at $1.6B?</t>
  </si>
  <si>
    <t>01.07</t>
  </si>
  <si>
    <t>Terminal / Passenger Systems</t>
  </si>
  <si>
    <t>Terminal, baggage, security and passenger systems</t>
  </si>
  <si>
    <t>What evidence supports Terminal / Passenger Systems at $1.1B?</t>
  </si>
  <si>
    <t>01.09</t>
  </si>
  <si>
    <t>Direct Labour</t>
  </si>
  <si>
    <t>Productivity, supervision and trade labour</t>
  </si>
  <si>
    <t>What evidence supports Direct Labour at $1.0B?</t>
  </si>
  <si>
    <t>01.10</t>
  </si>
  <si>
    <t>Direct Materials</t>
  </si>
  <si>
    <t>Concrete, steel, envelope, MEP materials</t>
  </si>
  <si>
    <t>What evidence supports Direct Materials at $1.1B?</t>
  </si>
  <si>
    <t>01.11</t>
  </si>
  <si>
    <t>Plant / Equipment</t>
  </si>
  <si>
    <t>Cranes, heavy plant and site equipment</t>
  </si>
  <si>
    <t>What evidence supports Plant / Equipment at $460M?</t>
  </si>
  <si>
    <t>02.01</t>
  </si>
  <si>
    <t>General Conditions / Prelims</t>
  </si>
  <si>
    <t>Indirect</t>
  </si>
  <si>
    <t>Site management, safety, offices and temporary services</t>
  </si>
  <si>
    <t>What evidence supports General Conditions / Prelims at $804M?</t>
  </si>
  <si>
    <t>02.02</t>
  </si>
  <si>
    <t>Design / Professional Fees</t>
  </si>
  <si>
    <t>Design, QS, controls, assurance and consultants</t>
  </si>
  <si>
    <t>What evidence supports Design / Professional Fees at $804M?</t>
  </si>
  <si>
    <t>02.03</t>
  </si>
  <si>
    <t>Permits / Insurance / Bonds</t>
  </si>
  <si>
    <t>Permits, inspections, legal, bonds and insurance</t>
  </si>
  <si>
    <t>What evidence supports Permits / Insurance / Bonds at $345M?</t>
  </si>
  <si>
    <t>03.01</t>
  </si>
  <si>
    <t>QCRA Contingency</t>
  </si>
  <si>
    <t>Reserve</t>
  </si>
  <si>
    <t>Known-unknown risk allowance</t>
  </si>
  <si>
    <t>What evidence supports QCRA Contingency at $689M?</t>
  </si>
  <si>
    <t>03.02</t>
  </si>
  <si>
    <t>Management Reserve</t>
  </si>
  <si>
    <t>Sponsor-held reserve</t>
  </si>
  <si>
    <t>What evidence supports Management Reserve at $345M?</t>
  </si>
  <si>
    <t>ALL ESTIMATE CLASS LEVELS — CLASS 1 TO 5</t>
  </si>
  <si>
    <t>Class</t>
  </si>
  <si>
    <t>Class Name</t>
  </si>
  <si>
    <t>P50 BN</t>
  </si>
  <si>
    <t>Maturity / Use</t>
  </si>
  <si>
    <t>Class 1 Definitive</t>
  </si>
  <si>
    <t>Class 2 Control</t>
  </si>
  <si>
    <t>Class 3 Budget</t>
  </si>
  <si>
    <t>Class 4 Feasibility</t>
  </si>
  <si>
    <t>Class 5 Concept</t>
  </si>
  <si>
    <t>FULL RISK REGISTER — CAUSE / EVENT / IMPACT / MITIGATION / QUANTIFIED</t>
  </si>
  <si>
    <t>ID</t>
  </si>
  <si>
    <t>Category</t>
  </si>
  <si>
    <t>Cause</t>
  </si>
  <si>
    <t>Event</t>
  </si>
  <si>
    <t>Impact</t>
  </si>
  <si>
    <t>Owner</t>
  </si>
  <si>
    <t>Mitigation</t>
  </si>
  <si>
    <t>Trigger</t>
  </si>
  <si>
    <t>Probability %</t>
  </si>
  <si>
    <t>Cost O BN</t>
  </si>
  <si>
    <t>Cost ML BN</t>
  </si>
  <si>
    <t>Cost P BN</t>
  </si>
  <si>
    <t>Schedule O Days</t>
  </si>
  <si>
    <t>Schedule ML Days</t>
  </si>
  <si>
    <t>Schedule P Days</t>
  </si>
  <si>
    <t>Cost EMV BN</t>
  </si>
  <si>
    <t>Schedule EMV Days</t>
  </si>
  <si>
    <t>Status</t>
  </si>
  <si>
    <t>R-001</t>
  </si>
  <si>
    <t>Scope</t>
  </si>
  <si>
    <t>Scope growth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</si>
  <si>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</si>
  <si>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</si>
  <si>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</si>
  <si>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</si>
  <si>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</si>
  <si>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</si>
  <si>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Open</t>
  </si>
  <si>
    <t>R-004</t>
  </si>
  <si>
    <t>Technical</t>
  </si>
  <si>
    <t>Design maturity gap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</si>
  <si>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</si>
  <si>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</si>
  <si>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</si>
  <si>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</si>
  <si>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</si>
  <si>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</si>
  <si>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R-015</t>
  </si>
  <si>
    <t>Sector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</si>
  <si>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</si>
  <si>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</si>
  <si>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</si>
  <si>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</si>
  <si>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</si>
  <si>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 and early board papers</t>
  </si>
  <si>
    <t>Approval date slips</t>
  </si>
  <si>
    <t>R-022</t>
  </si>
  <si>
    <t>Regulatory assurance delay</t>
  </si>
  <si>
    <t>Regulator or authority review cycle not fully allowed</t>
  </si>
  <si>
    <t>Approval takes longer than baseline</t>
  </si>
  <si>
    <t>Critical path delay and extra assurance cost</t>
  </si>
  <si>
    <t>Consents Lead</t>
  </si>
  <si>
    <t>Regulatory roadmap and early engagement</t>
  </si>
  <si>
    <t>Submission returned</t>
  </si>
  <si>
    <t>R-A01</t>
  </si>
  <si>
    <t>Operations</t>
  </si>
  <si>
    <t>Operational phasing disruption</t>
  </si>
  <si>
    <t>Works in or near live airport operations constrain access and sequencing</t>
  </si>
  <si>
    <t>Operational restrictions reduce productive windows</t>
  </si>
  <si>
    <t>Delay, night-work premiums, stakeholder disruption and ORAT pressure</t>
  </si>
  <si>
    <t>ORAT Lead</t>
  </si>
  <si>
    <t>Phasing simulation, possession plan, airport ops integration board</t>
  </si>
  <si>
    <t>Possession windows rejected</t>
  </si>
  <si>
    <t>R-008</t>
  </si>
  <si>
    <t>Integration</t>
  </si>
  <si>
    <t>Interface misalignment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</si>
  <si>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</si>
  <si>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</si>
  <si>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</si>
  <si>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</si>
  <si>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</si>
  <si>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</si>
  <si>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R-005</t>
  </si>
  <si>
    <t>Procurement</t>
  </si>
  <si>
    <t>Supply chain delay</t>
  </si>
  <si>
    <t>Long-lead equipment, constrained suppliers or late procurement release</t>
  </si>
  <si>
    <t>Supplier promise dates move right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</si>
  <si>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</si>
  <si>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</si>
  <si>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</si>
  <si>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</si>
  <si>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R-002</t>
  </si>
  <si>
    <t>Commercial</t>
  </si>
  <si>
    <t>Market escalation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</si>
  <si>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</si>
  <si>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</si>
  <si>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</si>
  <si>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</si>
  <si>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</si>
  <si>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</si>
  <si>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R-A02</t>
  </si>
  <si>
    <t>Systems</t>
  </si>
  <si>
    <t>Baggage / security systems integration</t>
  </si>
  <si>
    <t>Complex passenger systems integration and vendor interfaces uncertain</t>
  </si>
  <si>
    <t>Integrated airport systems do not pass readiness testing</t>
  </si>
  <si>
    <t>Commissioning delay, passenger disruption and late operational readiness</t>
  </si>
  <si>
    <t>Systems Lead</t>
  </si>
  <si>
    <t>Factory acceptance testing, integration lab, ORAT dry-runs</t>
  </si>
  <si>
    <t>FAT/SAT defect trend above threshold</t>
  </si>
  <si>
    <t>R-023</t>
  </si>
  <si>
    <t>Procurement strategy misalignment</t>
  </si>
  <si>
    <t>Package strategy does not match market capacity or risk transfer</t>
  </si>
  <si>
    <t>Tenders return above budget or fail</t>
  </si>
  <si>
    <t>Retendering, cost growth and schedule slip</t>
  </si>
  <si>
    <t>Market sounding and package strategy review</t>
  </si>
  <si>
    <t>Low bidder response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</si>
  <si>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</si>
  <si>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</si>
  <si>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</si>
  <si>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</si>
  <si>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</si>
  <si>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</si>
  <si>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</si>
  <si>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</si>
  <si>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</si>
  <si>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</si>
  <si>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</si>
  <si>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</si>
  <si>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</si>
  <si>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</si>
  <si>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</si>
  <si>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</si>
  <si>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R-021</t>
  </si>
  <si>
    <t>Utilities diversion / enabling risk</t>
  </si>
  <si>
    <t>Unknown utilities, access or enabling works underestimated</t>
  </si>
  <si>
    <t>Enabling works expand or delay critical start</t>
  </si>
  <si>
    <t>Cost growth, access delay and resequencing</t>
  </si>
  <si>
    <t>Enabling Works Lead</t>
  </si>
  <si>
    <t>Surveys, trial pits and early utility agreements</t>
  </si>
  <si>
    <t>Unknown utilities found</t>
  </si>
  <si>
    <t>R-012</t>
  </si>
  <si>
    <t>Cyber / controls integration</t>
  </si>
  <si>
    <t>Operational technology and control systems interfaces immature</t>
  </si>
  <si>
    <t>Controls integration fails testing</t>
  </si>
  <si>
    <t>Commissioning delay, resilience issue and operational risk</t>
  </si>
  <si>
    <t>Early cyber review, FAT/SAT plan, integration lab</t>
  </si>
  <si>
    <t>Controls defect trend increases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</si>
  <si>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</si>
  <si>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</si>
  <si>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</si>
  <si>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</si>
  <si>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</si>
  <si>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</si>
  <si>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</si>
  <si>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</si>
  <si>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</si>
  <si>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</si>
  <si>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</si>
  <si>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</si>
  <si>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</si>
  <si>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</si>
  <si>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freeze gates and change impact board</t>
  </si>
  <si>
    <t>IFC maturity below gate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</si>
  <si>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</si>
  <si>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</si>
  <si>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</si>
  <si>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</si>
  <si>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</si>
  <si>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</si>
  <si>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</si>
  <si>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</si>
  <si>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</si>
  <si>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</si>
  <si>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</si>
  <si>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</si>
  <si>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</si>
  <si>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</si>
  <si>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</si>
  <si>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</si>
  <si>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</si>
  <si>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</si>
  <si>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</si>
  <si>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</si>
  <si>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</si>
  <si>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</si>
  <si>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</si>
  <si>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</si>
  <si>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</si>
  <si>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</si>
  <si>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</si>
  <si>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</si>
  <si>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</si>
  <si>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</si>
  <si>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</si>
  <si>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</si>
  <si>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</si>
  <si>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</si>
  <si>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</si>
  <si>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</si>
  <si>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</si>
  <si>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</si>
  <si>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</si>
  <si>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</si>
  <si>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</si>
  <si>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</si>
  <si>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</si>
  <si>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</si>
  <si>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</si>
  <si>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</si>
  <si>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</si>
  <si>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</si>
  <si>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</si>
  <si>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</si>
  <si>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</si>
  <si>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</si>
  <si>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</si>
  <si>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</si>
  <si>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</si>
  <si>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</si>
  <si>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</si>
  <si>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</si>
  <si>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</si>
  <si>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</si>
  <si>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</si>
  <si>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</si>
  <si>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</si>
  <si>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</si>
  <si>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</si>
  <si>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</si>
  <si>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</si>
  <si>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</si>
  <si>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</si>
  <si>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</si>
  <si>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</si>
  <si>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</si>
  <si>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</si>
  <si>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</si>
  <si>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</si>
  <si>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</si>
  <si>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</si>
  <si>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</si>
  <si>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</si>
  <si>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</si>
  <si>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</si>
  <si>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+ QSRA CURVES — SEPARATE DISTRIBUTIONS</t>
  </si>
  <si>
    <t>Percentile</t>
  </si>
  <si>
    <t>QCRA Cost BN</t>
  </si>
  <si>
    <t>QSRA Months</t>
  </si>
  <si>
    <t>TORNADO DRIVERS — QCRA COST AND QSRA SCHEDULE SEPARATED</t>
  </si>
  <si>
    <t>Rank</t>
  </si>
  <si>
    <t>QCRA Cost Driver</t>
  </si>
  <si>
    <t>QSRA Schedule Driver</t>
  </si>
  <si>
    <t>ALL SCHEDULE LEVELS — LEVEL 1 TO 5</t>
  </si>
  <si>
    <t>Level</t>
  </si>
  <si>
    <t>Activity ID</t>
  </si>
  <si>
    <t>Phase</t>
  </si>
  <si>
    <t>Activity</t>
  </si>
  <si>
    <t>Predecessor</t>
  </si>
  <si>
    <t>Duration Months</t>
  </si>
  <si>
    <t>Critical</t>
  </si>
  <si>
    <t>M100</t>
  </si>
  <si>
    <t>Milestone</t>
  </si>
  <si>
    <t>Investment approval</t>
  </si>
  <si>
    <t>No</t>
  </si>
  <si>
    <t>Duration derived from sector schedule model, selected schedule level and scenario compression/buffer logic.</t>
  </si>
  <si>
    <t>M200</t>
  </si>
  <si>
    <t>Design complete</t>
  </si>
  <si>
    <t>M300</t>
  </si>
  <si>
    <t>Procurement complete</t>
  </si>
  <si>
    <t>M400</t>
  </si>
  <si>
    <t>Delivery complete</t>
  </si>
  <si>
    <t>M500</t>
  </si>
  <si>
    <t>Ready for operations</t>
  </si>
  <si>
    <t>M600</t>
  </si>
  <si>
    <t>A1000</t>
  </si>
  <si>
    <t>Governance</t>
  </si>
  <si>
    <t>Project initiation / controls setup</t>
  </si>
  <si>
    <t>A1100</t>
  </si>
  <si>
    <t>Business Case</t>
  </si>
  <si>
    <t>Strategic brief, funding and approval</t>
  </si>
  <si>
    <t>A1200</t>
  </si>
  <si>
    <t>Requirements definition and scope freeze</t>
  </si>
  <si>
    <t>A1300</t>
  </si>
  <si>
    <t>Design</t>
  </si>
  <si>
    <t>Concept / reference architecture</t>
  </si>
  <si>
    <t>A1400</t>
  </si>
  <si>
    <t>Consents</t>
  </si>
  <si>
    <t>Planning, regulatory and stakeholder approvals</t>
  </si>
  <si>
    <t>Yes</t>
  </si>
  <si>
    <t>A1500</t>
  </si>
  <si>
    <t>Procurement strategy and tender packaging</t>
  </si>
  <si>
    <t>A1600</t>
  </si>
  <si>
    <t>Detailed design / IFC development</t>
  </si>
  <si>
    <t>A1700</t>
  </si>
  <si>
    <t>Long-lead procurement</t>
  </si>
  <si>
    <t>A1800</t>
  </si>
  <si>
    <t>Enabling</t>
  </si>
  <si>
    <t>Site / launch integration readiness</t>
  </si>
  <si>
    <t>A1400;A1500</t>
  </si>
  <si>
    <t>A1900</t>
  </si>
  <si>
    <t>Main construction / fabrication / assembly</t>
  </si>
  <si>
    <t>A1600;A1700;A1800</t>
  </si>
  <si>
    <t>A2000</t>
  </si>
  <si>
    <t>Systems integration and testing</t>
  </si>
  <si>
    <t>A2100</t>
  </si>
  <si>
    <t>Commissioning, operations readiness and closeout</t>
  </si>
  <si>
    <t>P1000</t>
  </si>
  <si>
    <t>Package</t>
  </si>
  <si>
    <t>Airfield works</t>
  </si>
  <si>
    <t>P2000</t>
  </si>
  <si>
    <t>Terminal systems</t>
  </si>
  <si>
    <t>P3000</t>
  </si>
  <si>
    <t>Baggage/security systems</t>
  </si>
  <si>
    <t>P4000</t>
  </si>
  <si>
    <t>ORAT</t>
  </si>
  <si>
    <t>P1100</t>
  </si>
  <si>
    <t>Airfield works - mobilise / method</t>
  </si>
  <si>
    <t>P1200</t>
  </si>
  <si>
    <t>Airfield works - execute works</t>
  </si>
  <si>
    <t>P1300</t>
  </si>
  <si>
    <t>Airfield works - inspect / closeout</t>
  </si>
  <si>
    <t>P2100</t>
  </si>
  <si>
    <t>Terminal systems - mobilise / method</t>
  </si>
  <si>
    <t>P2200</t>
  </si>
  <si>
    <t>Terminal systems - execute works</t>
  </si>
  <si>
    <t>P2300</t>
  </si>
  <si>
    <t>Terminal systems - inspect / closeout</t>
  </si>
  <si>
    <t>P3100</t>
  </si>
  <si>
    <t>Baggage/security systems - mobilise / method</t>
  </si>
  <si>
    <t>P3200</t>
  </si>
  <si>
    <t>Baggage/security systems - execute works</t>
  </si>
  <si>
    <t>P3300</t>
  </si>
  <si>
    <t>Baggage/security systems - inspect / closeout</t>
  </si>
  <si>
    <t>P4100</t>
  </si>
  <si>
    <t>ORAT - mobilise / method</t>
  </si>
  <si>
    <t>P4200</t>
  </si>
  <si>
    <t>ORAT - execute works</t>
  </si>
  <si>
    <t>P4300</t>
  </si>
  <si>
    <t>ORAT - inspect / closeout</t>
  </si>
  <si>
    <t>BASIS, LIMITATIONS AND AUDIT</t>
  </si>
  <si>
    <t>Field</t>
  </si>
  <si>
    <t>Value</t>
  </si>
  <si>
    <t>Project</t>
  </si>
  <si>
    <t>Airport Infrastructure</t>
  </si>
  <si>
    <t>Subsector</t>
  </si>
  <si>
    <t>Airport / Aviation</t>
  </si>
  <si>
    <t>Location</t>
  </si>
  <si>
    <t>Global / Not specified</t>
  </si>
  <si>
    <t>Mode</t>
  </si>
  <si>
    <t>Earth</t>
  </si>
  <si>
    <t>Estimate class</t>
  </si>
  <si>
    <t>Schedule level</t>
  </si>
  <si>
    <t>Generated</t>
  </si>
  <si>
    <t>2026-05-05 18:08 UTC</t>
  </si>
  <si>
    <t>Model version</t>
  </si>
  <si>
    <t>v56 Global Standard</t>
  </si>
  <si>
    <t>Limitation</t>
  </si>
  <si>
    <t>First-pass project controls intelligence. Validate against project-specific tender, survey, design and schedule evidence before capital commitment.</t>
  </si>
  <si>
    <t>Methodology</t>
  </si>
  <si>
    <t>Cost is parametric/benchmark/factor-based; QCRA and QSRA are separated; risks are cause-event-impact structured; scenarios change cost, schedule, risk and confidence.</t>
  </si>
  <si>
    <t>Output standard</t>
  </si>
  <si>
    <t>PDF/PPTX excluded from primary output pack to avoid weak or unreadable exports. Excel, schedule and audit outputs are the source of truth.</t>
  </si>
</sst>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%"/>
  </numFmts>
  <fonts count="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5B6775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8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5" fillId="5" borderId="2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Cost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P50 Cost BN</c:v>
          </c:tx>
          <c:spPr>
            <a:solidFill>
              <a:srgbClr val="0070C0"/>
            </a:solidFill>
          </c:spP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Comparison'!$B$6:$B$12</c:f>
              <c:numCache>
                <c:formatCode>General</c:formatCode>
                <c:ptCount val="7"/>
                <c:pt idx="0">
                  <c:v>10.3</c:v>
                </c:pt>
                <c:pt idx="1">
                  <c:v>11.5</c:v>
                </c:pt>
                <c:pt idx="2">
                  <c:v>9.1</c:v>
                </c:pt>
                <c:pt idx="3">
                  <c:v>11.3</c:v>
                </c:pt>
                <c:pt idx="4">
                  <c:v>11.9</c:v>
                </c:pt>
                <c:pt idx="5">
                  <c:v>10.1</c:v>
                </c:pt>
                <c:pt idx="6">
                  <c:v>8.1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Schedule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Schedule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Comparison'!$D$6:$D$12</c:f>
              <c:numCache>
                <c:formatCode>General</c:formatCode>
                <c:ptCount val="7"/>
                <c:pt idx="0">
                  <c:v>106</c:v>
                </c:pt>
                <c:pt idx="1">
                  <c:v>87</c:v>
                </c:pt>
                <c:pt idx="2">
                  <c:v>114</c:v>
                </c:pt>
                <c:pt idx="3">
                  <c:v>117</c:v>
                </c:pt>
                <c:pt idx="4">
                  <c:v>110</c:v>
                </c:pt>
                <c:pt idx="5">
                  <c:v>106</c:v>
                </c:pt>
                <c:pt idx="6">
                  <c:v>127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Class Cost Build-Up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P50 BN</c:v>
          </c:tx>
          <c:spPr>
            <a:solidFill>
              <a:srgbClr val="0070C0"/>
            </a:solidFill>
          </c:spPr>
          <c:cat>
            <c:strRef>
              <c:f>'02 Cost Selected'!$B$6:$B$20</c:f>
              <c:strCache>
                <c:ptCount val="15"/>
                <c:pt idx="0">
                  <c:v>Site Preparation / Enabling</c:v>
                </c:pt>
                <c:pt idx="1">
                  <c:v>Substructure / Foundations</c:v>
                </c:pt>
                <c:pt idx="2">
                  <c:v>Superstructure / Civil Works</c:v>
                </c:pt>
                <c:pt idx="3">
                  <c:v>MEP / Systems / Utilities</c:v>
                </c:pt>
                <c:pt idx="4">
                  <c:v>Specialist Equipment / Fit-Out</c:v>
                </c:pt>
                <c:pt idx="5">
                  <c:v>Airfield Works</c:v>
                </c:pt>
                <c:pt idx="6">
                  <c:v>Terminal / Passenger Systems</c:v>
                </c:pt>
                <c:pt idx="7">
                  <c:v>Direct Labour</c:v>
                </c:pt>
                <c:pt idx="8">
                  <c:v>Direct Materials</c:v>
                </c:pt>
                <c:pt idx="9">
                  <c:v>Plant / Equipment</c:v>
                </c:pt>
                <c:pt idx="10">
                  <c:v>General Conditions / Prelims</c:v>
                </c:pt>
                <c:pt idx="11">
                  <c:v>Design / Professional Fees</c:v>
                </c:pt>
                <c:pt idx="12">
                  <c:v>Permits / Insurance / Bonds</c:v>
                </c:pt>
                <c:pt idx="13">
                  <c:v>QCRA Contingency</c:v>
                </c:pt>
                <c:pt idx="14">
                  <c:v>Management Reserve</c:v>
                </c:pt>
              </c:strCache>
            </c:strRef>
          </c:cat>
          <c:val>
            <c:numRef>
              <c:f>'02 Cost Selected'!$F$6:$F$20</c:f>
              <c:numCache>
                <c:formatCode>General</c:formatCode>
                <c:ptCount val="15"/>
                <c:pt idx="0">
                  <c:v>0.6889999999999999</c:v>
                </c:pt>
                <c:pt idx="1">
                  <c:v>0.919</c:v>
                </c:pt>
                <c:pt idx="2">
                  <c:v>1.608</c:v>
                </c:pt>
                <c:pt idx="3">
                  <c:v>1.608</c:v>
                </c:pt>
                <c:pt idx="4">
                  <c:v>1.379</c:v>
                </c:pt>
                <c:pt idx="5">
                  <c:v>1.608</c:v>
                </c:pt>
                <c:pt idx="6">
                  <c:v>1.149</c:v>
                </c:pt>
                <c:pt idx="7">
                  <c:v>1.034</c:v>
                </c:pt>
                <c:pt idx="8">
                  <c:v>1.149</c:v>
                </c:pt>
                <c:pt idx="9">
                  <c:v>0.46</c:v>
                </c:pt>
                <c:pt idx="10">
                  <c:v>0.804</c:v>
                </c:pt>
                <c:pt idx="11">
                  <c:v>0.804</c:v>
                </c:pt>
                <c:pt idx="12">
                  <c:v>0.345</c:v>
                </c:pt>
                <c:pt idx="13">
                  <c:v>0.6889999999999999</c:v>
                </c:pt>
                <c:pt idx="14">
                  <c:v>0.345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QCRA Cost BN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Curves'!$B$6:$B$19</c:f>
              <c:numCache>
                <c:formatCode>General</c:formatCode>
                <c:ptCount val="14"/>
                <c:pt idx="0">
                  <c:v>8.760999999999999</c:v>
                </c:pt>
                <c:pt idx="1">
                  <c:v>9.484999999999999</c:v>
                </c:pt>
                <c:pt idx="2">
                  <c:v>9.904</c:v>
                </c:pt>
                <c:pt idx="3">
                  <c:v>10.426</c:v>
                </c:pt>
                <c:pt idx="4">
                  <c:v>10.823</c:v>
                </c:pt>
                <c:pt idx="5">
                  <c:v>11.169</c:v>
                </c:pt>
                <c:pt idx="6">
                  <c:v>11.5</c:v>
                </c:pt>
                <c:pt idx="7">
                  <c:v>11.841</c:v>
                </c:pt>
                <c:pt idx="8">
                  <c:v>12.22</c:v>
                </c:pt>
                <c:pt idx="9">
                  <c:v>12.685</c:v>
                </c:pt>
                <c:pt idx="10">
                  <c:v>12.985</c:v>
                </c:pt>
                <c:pt idx="11">
                  <c:v>13.354</c:v>
                </c:pt>
                <c:pt idx="12">
                  <c:v>13.943</c:v>
                </c:pt>
                <c:pt idx="13">
                  <c:v>15.096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Duration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QSRA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Curves'!$C$6:$C$19</c:f>
              <c:numCache>
                <c:formatCode>General</c:formatCode>
                <c:ptCount val="14"/>
                <c:pt idx="0">
                  <c:v>76.17</c:v>
                </c:pt>
                <c:pt idx="1">
                  <c:v>79.18000000000001</c:v>
                </c:pt>
                <c:pt idx="2">
                  <c:v>80.87</c:v>
                </c:pt>
                <c:pt idx="3">
                  <c:v>82.93000000000001</c:v>
                </c:pt>
                <c:pt idx="4">
                  <c:v>84.45999999999999</c:v>
                </c:pt>
                <c:pt idx="5">
                  <c:v>85.77</c:v>
                </c:pt>
                <c:pt idx="6">
                  <c:v>87</c:v>
                </c:pt>
                <c:pt idx="7">
                  <c:v>88.25</c:v>
                </c:pt>
                <c:pt idx="8">
                  <c:v>89.62</c:v>
                </c:pt>
                <c:pt idx="9">
                  <c:v>91.27</c:v>
                </c:pt>
                <c:pt idx="10">
                  <c:v>92.31999999999999</c:v>
                </c:pt>
                <c:pt idx="11">
                  <c:v>93.59</c:v>
                </c:pt>
                <c:pt idx="12">
                  <c:v>95.59</c:v>
                </c:pt>
                <c:pt idx="13">
                  <c:v>99.37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QCRA EMV</c:v>
          </c:tx>
          <c:spPr>
            <a:solidFill>
              <a:srgbClr val="0070C0"/>
            </a:solidFill>
          </c:spPr>
          <c:cat>
            <c:strRef>
              <c:f>'06 Tornado Drivers'!$B$6:$B$20</c:f>
              <c:strCache>
                <c:ptCount val="15"/>
                <c:pt idx="0">
                  <c:v>Design maturity gap</c:v>
                </c:pt>
                <c:pt idx="1">
                  <c:v>Scope growth</c:v>
                </c:pt>
                <c:pt idx="2">
                  <c:v>Commissioning delay</c:v>
                </c:pt>
                <c:pt idx="3">
                  <c:v>Operational phasing disruption</c:v>
                </c:pt>
                <c:pt idx="4">
                  <c:v>Interface misalignment</c:v>
                </c:pt>
                <c:pt idx="5">
                  <c:v>Regulatory assurance delay</c:v>
                </c:pt>
                <c:pt idx="6">
                  <c:v>Market escalation</c:v>
                </c:pt>
                <c:pt idx="7">
                  <c:v>Baggage / security systems integration</c:v>
                </c:pt>
                <c:pt idx="8">
                  <c:v>Supply chain delay</c:v>
                </c:pt>
                <c:pt idx="9">
                  <c:v>Cyber / controls integration</c:v>
                </c:pt>
                <c:pt idx="10">
                  <c:v>Funding / approval gate delay</c:v>
                </c:pt>
                <c:pt idx="11">
                  <c:v>Utilities diversion / enabling risk</c:v>
                </c:pt>
                <c:pt idx="12">
                  <c:v>Quality failure / rework</c:v>
                </c:pt>
                <c:pt idx="13">
                  <c:v>Design change after procurement</c:v>
                </c:pt>
                <c:pt idx="14">
                  <c:v>Stakeholder change</c:v>
                </c:pt>
              </c:strCache>
            </c:strRef>
          </c:cat>
          <c:val>
            <c:numRef>
              <c:f>'06 Tornado Drivers'!$D$6:$D$20</c:f>
              <c:numCache>
                <c:formatCode>General</c:formatCode>
                <c:ptCount val="15"/>
                <c:pt idx="0">
                  <c:v>0.163</c:v>
                </c:pt>
                <c:pt idx="1">
                  <c:v>0.153</c:v>
                </c:pt>
                <c:pt idx="2">
                  <c:v>0.137</c:v>
                </c:pt>
                <c:pt idx="3">
                  <c:v>0.125</c:v>
                </c:pt>
                <c:pt idx="4">
                  <c:v>0.125</c:v>
                </c:pt>
                <c:pt idx="5">
                  <c:v>0.115</c:v>
                </c:pt>
                <c:pt idx="6">
                  <c:v>0.105</c:v>
                </c:pt>
                <c:pt idx="7">
                  <c:v>0.102</c:v>
                </c:pt>
                <c:pt idx="8">
                  <c:v>0.093</c:v>
                </c:pt>
                <c:pt idx="9">
                  <c:v>0.089</c:v>
                </c:pt>
                <c:pt idx="10">
                  <c:v>0.08500000000000001</c:v>
                </c:pt>
                <c:pt idx="11">
                  <c:v>0.08500000000000001</c:v>
                </c:pt>
                <c:pt idx="12">
                  <c:v>0.063</c:v>
                </c:pt>
                <c:pt idx="13">
                  <c:v>0.059</c:v>
                </c:pt>
                <c:pt idx="14">
                  <c:v>0.058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QSRA Days</c:v>
          </c:tx>
          <c:spPr>
            <a:solidFill>
              <a:srgbClr val="00A6C8"/>
            </a:solidFill>
          </c:spPr>
          <c:cat>
            <c:strRef>
              <c:f>'06 Tornado Drivers'!$I$6:$I$20</c:f>
              <c:strCache>
                <c:ptCount val="15"/>
                <c:pt idx="0">
                  <c:v>Funding / approval gate delay</c:v>
                </c:pt>
                <c:pt idx="1">
                  <c:v>Procurement strategy misalignment</c:v>
                </c:pt>
                <c:pt idx="2">
                  <c:v>Regulatory assurance delay</c:v>
                </c:pt>
                <c:pt idx="3">
                  <c:v>Stakeholder change</c:v>
                </c:pt>
                <c:pt idx="4">
                  <c:v>Interface misalignment</c:v>
                </c:pt>
                <c:pt idx="5">
                  <c:v>Supply chain delay</c:v>
                </c:pt>
                <c:pt idx="6">
                  <c:v>Baggage / security systems integration</c:v>
                </c:pt>
                <c:pt idx="7">
                  <c:v>Utilities diversion / enabling risk</c:v>
                </c:pt>
                <c:pt idx="8">
                  <c:v>Weather / environmental disruption</c:v>
                </c:pt>
                <c:pt idx="9">
                  <c:v>Productivity underperformance</c:v>
                </c:pt>
                <c:pt idx="10">
                  <c:v>Design maturity gap</c:v>
                </c:pt>
                <c:pt idx="11">
                  <c:v>Cyber / controls integration</c:v>
                </c:pt>
                <c:pt idx="12">
                  <c:v>Design change after procurement</c:v>
                </c:pt>
                <c:pt idx="13">
                  <c:v>Scope growth</c:v>
                </c:pt>
                <c:pt idx="14">
                  <c:v>Operational phasing disruption</c:v>
                </c:pt>
              </c:strCache>
            </c:strRef>
          </c:cat>
          <c:val>
            <c:numRef>
              <c:f>'06 Tornado Drivers'!$K$6:$K$20</c:f>
              <c:numCache>
                <c:formatCode>General</c:formatCode>
                <c:ptCount val="15"/>
                <c:pt idx="0">
                  <c:v>26.1</c:v>
                </c:pt>
                <c:pt idx="1">
                  <c:v>26.1</c:v>
                </c:pt>
                <c:pt idx="2">
                  <c:v>20.7</c:v>
                </c:pt>
                <c:pt idx="3">
                  <c:v>20.7</c:v>
                </c:pt>
                <c:pt idx="4">
                  <c:v>19.2</c:v>
                </c:pt>
                <c:pt idx="5">
                  <c:v>17.8</c:v>
                </c:pt>
                <c:pt idx="6">
                  <c:v>17.2</c:v>
                </c:pt>
                <c:pt idx="7">
                  <c:v>15.8</c:v>
                </c:pt>
                <c:pt idx="8">
                  <c:v>15.8</c:v>
                </c:pt>
                <c:pt idx="9">
                  <c:v>13.5</c:v>
                </c:pt>
                <c:pt idx="10">
                  <c:v>12.2</c:v>
                </c:pt>
                <c:pt idx="11">
                  <c:v>11.7</c:v>
                </c:pt>
                <c:pt idx="12">
                  <c:v>11.7</c:v>
                </c:pt>
                <c:pt idx="13">
                  <c:v>11.2</c:v>
                </c:pt>
                <c:pt idx="14">
                  <c:v>8.699999999999999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542925</xdr:colOff>
      <xdr:row>29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10</xdr:col>
      <xdr:colOff>342900</xdr:colOff>
      <xdr:row>29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21</xdr:col>
      <xdr:colOff>76200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13</xdr:col>
      <xdr:colOff>228600</xdr:colOff>
      <xdr:row>35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9525</xdr:colOff>
      <xdr:row>41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990600</xdr:colOff>
      <xdr:row>41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6" width="18.7109375" customWidth="1"/>
    <col min="7" max="7" width="4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2" t="s">
        <v>1</v>
      </c>
    </row>
    <row r="5" spans="1:8">
      <c r="A5" s="3" t="s">
        <v>2</v>
      </c>
      <c r="C5" s="3" t="s">
        <v>4</v>
      </c>
      <c r="E5" s="3" t="s">
        <v>6</v>
      </c>
      <c r="G5" s="3" t="s">
        <v>8</v>
      </c>
    </row>
    <row r="6" spans="1:8">
      <c r="A6" s="4" t="s">
        <v>3</v>
      </c>
      <c r="B6" s="4"/>
      <c r="C6" s="4" t="s">
        <v>5</v>
      </c>
      <c r="D6" s="4"/>
      <c r="E6" s="4" t="s">
        <v>7</v>
      </c>
      <c r="F6" s="4"/>
      <c r="G6" s="4" t="s">
        <v>9</v>
      </c>
      <c r="H6" s="4"/>
    </row>
    <row r="8" spans="1:8">
      <c r="A8" s="3" t="s">
        <v>10</v>
      </c>
      <c r="C8" s="3" t="s">
        <v>12</v>
      </c>
      <c r="E8" s="3" t="s">
        <v>14</v>
      </c>
    </row>
    <row r="9" spans="1:8">
      <c r="A9" s="4" t="s">
        <v>11</v>
      </c>
      <c r="B9" s="4"/>
      <c r="C9" s="4" t="s">
        <v>13</v>
      </c>
      <c r="D9" s="4"/>
      <c r="E9" s="4" t="s">
        <v>15</v>
      </c>
      <c r="F9" s="4"/>
    </row>
    <row r="11" spans="1:8">
      <c r="A11" s="3" t="s">
        <v>16</v>
      </c>
    </row>
    <row r="12" spans="1:8">
      <c r="A12" s="5" t="s">
        <v>17</v>
      </c>
    </row>
    <row r="13" spans="1:8">
      <c r="A13" s="5" t="s">
        <v>18</v>
      </c>
    </row>
    <row r="15" spans="1:8">
      <c r="A15" s="3" t="s">
        <v>19</v>
      </c>
    </row>
    <row r="16" spans="1:8">
      <c r="A16" s="5" t="s">
        <v>20</v>
      </c>
      <c r="B16" s="5" t="s">
        <v>21</v>
      </c>
    </row>
    <row r="17" spans="1:2">
      <c r="A17" s="5" t="s">
        <v>20</v>
      </c>
      <c r="B17" s="5" t="s">
        <v>22</v>
      </c>
    </row>
    <row r="18" spans="1:2">
      <c r="A18" s="5" t="s">
        <v>20</v>
      </c>
      <c r="B18" s="5" t="s">
        <v>23</v>
      </c>
    </row>
    <row r="19" spans="1:2">
      <c r="A19" s="5" t="s">
        <v>20</v>
      </c>
      <c r="B19" s="5" t="s">
        <v>24</v>
      </c>
    </row>
    <row r="20" spans="1:2">
      <c r="A20" s="5" t="s">
        <v>20</v>
      </c>
      <c r="B20" s="5" t="s">
        <v>25</v>
      </c>
    </row>
    <row r="21" spans="1:2">
      <c r="A21" s="5" t="s">
        <v>20</v>
      </c>
      <c r="B21" s="5" t="s">
        <v>26</v>
      </c>
    </row>
    <row r="22" spans="1:2">
      <c r="A22" s="5" t="s">
        <v>20</v>
      </c>
      <c r="B22" s="5" t="s">
        <v>27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4.7109375" customWidth="1"/>
    <col min="2" max="5" width="15.7109375" style="6" customWidth="1"/>
    <col min="6" max="6" width="14.7109375" customWidth="1"/>
    <col min="7" max="7" width="12.7109375" customWidth="1"/>
    <col min="8" max="9" width="15.7109375" style="6" customWidth="1"/>
    <col min="10" max="11" width="45.7109375" customWidth="1"/>
  </cols>
  <sheetData>
    <row r="1" spans="1:1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29</v>
      </c>
    </row>
    <row r="5" spans="1:11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12</v>
      </c>
      <c r="G5" s="7" t="s">
        <v>14</v>
      </c>
      <c r="H5" s="7" t="s">
        <v>35</v>
      </c>
      <c r="I5" s="7" t="s">
        <v>36</v>
      </c>
      <c r="J5" s="7" t="s">
        <v>37</v>
      </c>
      <c r="K5" s="7" t="s">
        <v>38</v>
      </c>
    </row>
    <row r="6" spans="1:11">
      <c r="A6" s="5" t="s">
        <v>39</v>
      </c>
      <c r="B6" s="5">
        <v>10.3</v>
      </c>
      <c r="C6" s="5">
        <v>-1.199999999999999</v>
      </c>
      <c r="D6" s="5">
        <v>106</v>
      </c>
      <c r="E6" s="5">
        <v>19</v>
      </c>
      <c r="F6" s="5" t="s">
        <v>13</v>
      </c>
      <c r="G6" s="5">
        <v>64</v>
      </c>
      <c r="H6" s="5">
        <v>13.951</v>
      </c>
      <c r="I6" s="5">
        <v>126.1</v>
      </c>
      <c r="J6" s="5" t="s">
        <v>40</v>
      </c>
      <c r="K6" s="5" t="s">
        <v>41</v>
      </c>
    </row>
    <row r="7" spans="1:11">
      <c r="A7" s="5" t="s">
        <v>42</v>
      </c>
      <c r="B7" s="5">
        <v>11.5</v>
      </c>
      <c r="C7" s="5">
        <v>0</v>
      </c>
      <c r="D7" s="5">
        <v>87</v>
      </c>
      <c r="E7" s="5">
        <v>0</v>
      </c>
      <c r="F7" s="5" t="s">
        <v>13</v>
      </c>
      <c r="G7" s="5">
        <v>59</v>
      </c>
      <c r="H7" s="5">
        <v>15.576</v>
      </c>
      <c r="I7" s="5">
        <v>103.5</v>
      </c>
      <c r="J7" s="5" t="s">
        <v>18</v>
      </c>
      <c r="K7" s="5" t="s">
        <v>17</v>
      </c>
    </row>
    <row r="8" spans="1:11">
      <c r="A8" s="5" t="s">
        <v>43</v>
      </c>
      <c r="B8" s="5">
        <v>9.1</v>
      </c>
      <c r="C8" s="5">
        <v>-2.4</v>
      </c>
      <c r="D8" s="5">
        <v>114</v>
      </c>
      <c r="E8" s="5">
        <v>27</v>
      </c>
      <c r="F8" s="5" t="s">
        <v>13</v>
      </c>
      <c r="G8" s="5">
        <v>58</v>
      </c>
      <c r="H8" s="5">
        <v>12.325</v>
      </c>
      <c r="I8" s="5">
        <v>135.6</v>
      </c>
      <c r="J8" s="5" t="s">
        <v>44</v>
      </c>
      <c r="K8" s="5" t="s">
        <v>45</v>
      </c>
    </row>
    <row r="9" spans="1:11">
      <c r="A9" s="5" t="s">
        <v>46</v>
      </c>
      <c r="B9" s="5">
        <v>11.3</v>
      </c>
      <c r="C9" s="5">
        <v>-0.1999999999999993</v>
      </c>
      <c r="D9" s="5">
        <v>117</v>
      </c>
      <c r="E9" s="5">
        <v>30</v>
      </c>
      <c r="F9" s="5" t="s">
        <v>47</v>
      </c>
      <c r="G9" s="5">
        <v>77</v>
      </c>
      <c r="H9" s="5">
        <v>14.05</v>
      </c>
      <c r="I9" s="5">
        <v>131.8</v>
      </c>
      <c r="J9" s="5" t="s">
        <v>48</v>
      </c>
      <c r="K9" s="5" t="s">
        <v>49</v>
      </c>
    </row>
    <row r="10" spans="1:11">
      <c r="A10" s="5" t="s">
        <v>50</v>
      </c>
      <c r="B10" s="5">
        <v>11.9</v>
      </c>
      <c r="C10" s="5">
        <v>0.4000000000000004</v>
      </c>
      <c r="D10" s="5">
        <v>110</v>
      </c>
      <c r="E10" s="5">
        <v>23</v>
      </c>
      <c r="F10" s="5" t="s">
        <v>47</v>
      </c>
      <c r="G10" s="5">
        <v>80</v>
      </c>
      <c r="H10" s="5">
        <v>14.796</v>
      </c>
      <c r="I10" s="5">
        <v>124</v>
      </c>
      <c r="J10" s="5" t="s">
        <v>51</v>
      </c>
      <c r="K10" s="5" t="s">
        <v>52</v>
      </c>
    </row>
    <row r="11" spans="1:11">
      <c r="A11" s="5" t="s">
        <v>53</v>
      </c>
      <c r="B11" s="5">
        <v>10.1</v>
      </c>
      <c r="C11" s="5">
        <v>-1.4</v>
      </c>
      <c r="D11" s="5">
        <v>106</v>
      </c>
      <c r="E11" s="5">
        <v>19</v>
      </c>
      <c r="F11" s="5" t="s">
        <v>47</v>
      </c>
      <c r="G11" s="5">
        <v>71</v>
      </c>
      <c r="H11" s="5">
        <v>12.558</v>
      </c>
      <c r="I11" s="5">
        <v>119.4</v>
      </c>
      <c r="J11" s="5" t="s">
        <v>54</v>
      </c>
      <c r="K11" s="5" t="s">
        <v>55</v>
      </c>
    </row>
    <row r="12" spans="1:11">
      <c r="A12" s="5" t="s">
        <v>56</v>
      </c>
      <c r="B12" s="5">
        <v>8.1</v>
      </c>
      <c r="C12" s="5">
        <v>-3.4</v>
      </c>
      <c r="D12" s="5">
        <v>127</v>
      </c>
      <c r="E12" s="5">
        <v>40</v>
      </c>
      <c r="F12" s="5" t="s">
        <v>13</v>
      </c>
      <c r="G12" s="5">
        <v>54</v>
      </c>
      <c r="H12" s="5">
        <v>10.971</v>
      </c>
      <c r="I12" s="5">
        <v>151.1</v>
      </c>
      <c r="J12" s="5" t="s">
        <v>57</v>
      </c>
      <c r="K12" s="5" t="s">
        <v>58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2.7109375" customWidth="1"/>
    <col min="4" max="4" width="42.7109375" customWidth="1"/>
    <col min="5" max="8" width="13.7109375" style="8" customWidth="1"/>
    <col min="9" max="9" width="10.7109375" style="9" customWidth="1"/>
    <col min="10" max="10" width="42.7109375" customWidth="1"/>
  </cols>
  <sheetData>
    <row r="1" spans="1:10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A5" s="7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69</v>
      </c>
    </row>
    <row r="6" spans="1:10">
      <c r="A6" s="5" t="s">
        <v>70</v>
      </c>
      <c r="B6" s="5" t="s">
        <v>71</v>
      </c>
      <c r="C6" s="5" t="s">
        <v>72</v>
      </c>
      <c r="D6" s="5" t="s">
        <v>73</v>
      </c>
      <c r="E6" s="5">
        <v>0.551</v>
      </c>
      <c r="F6" s="5">
        <v>0.6889999999999999</v>
      </c>
      <c r="G6" s="5">
        <v>0.823</v>
      </c>
      <c r="H6" s="5">
        <v>0.896</v>
      </c>
      <c r="I6" s="5">
        <v>0.04722412611377656</v>
      </c>
      <c r="J6" s="5" t="s">
        <v>74</v>
      </c>
    </row>
    <row r="7" spans="1:10">
      <c r="A7" s="5" t="s">
        <v>75</v>
      </c>
      <c r="B7" s="5" t="s">
        <v>76</v>
      </c>
      <c r="C7" s="5" t="s">
        <v>72</v>
      </c>
      <c r="D7" s="5" t="s">
        <v>77</v>
      </c>
      <c r="E7" s="5">
        <v>0.735</v>
      </c>
      <c r="F7" s="5">
        <v>0.919</v>
      </c>
      <c r="G7" s="5">
        <v>1.098</v>
      </c>
      <c r="H7" s="5">
        <v>1.195</v>
      </c>
      <c r="I7" s="5">
        <v>0.06298834818368745</v>
      </c>
      <c r="J7" s="5" t="s">
        <v>78</v>
      </c>
    </row>
    <row r="8" spans="1:10">
      <c r="A8" s="5" t="s">
        <v>79</v>
      </c>
      <c r="B8" s="5" t="s">
        <v>80</v>
      </c>
      <c r="C8" s="5" t="s">
        <v>72</v>
      </c>
      <c r="D8" s="5" t="s">
        <v>81</v>
      </c>
      <c r="E8" s="5">
        <v>1.286</v>
      </c>
      <c r="F8" s="5">
        <v>1.608</v>
      </c>
      <c r="G8" s="5">
        <v>1.922</v>
      </c>
      <c r="H8" s="5">
        <v>2.09</v>
      </c>
      <c r="I8" s="5">
        <v>0.110212474297464</v>
      </c>
      <c r="J8" s="5" t="s">
        <v>82</v>
      </c>
    </row>
    <row r="9" spans="1:10">
      <c r="A9" s="5" t="s">
        <v>83</v>
      </c>
      <c r="B9" s="5" t="s">
        <v>84</v>
      </c>
      <c r="C9" s="5" t="s">
        <v>72</v>
      </c>
      <c r="D9" s="5" t="s">
        <v>85</v>
      </c>
      <c r="E9" s="5">
        <v>1.286</v>
      </c>
      <c r="F9" s="5">
        <v>1.608</v>
      </c>
      <c r="G9" s="5">
        <v>1.922</v>
      </c>
      <c r="H9" s="5">
        <v>2.09</v>
      </c>
      <c r="I9" s="5">
        <v>0.110212474297464</v>
      </c>
      <c r="J9" s="5" t="s">
        <v>86</v>
      </c>
    </row>
    <row r="10" spans="1:10">
      <c r="A10" s="5" t="s">
        <v>87</v>
      </c>
      <c r="B10" s="5" t="s">
        <v>88</v>
      </c>
      <c r="C10" s="5" t="s">
        <v>72</v>
      </c>
      <c r="D10" s="5" t="s">
        <v>89</v>
      </c>
      <c r="E10" s="5">
        <v>1.103</v>
      </c>
      <c r="F10" s="5">
        <v>1.379</v>
      </c>
      <c r="G10" s="5">
        <v>1.648</v>
      </c>
      <c r="H10" s="5">
        <v>1.793</v>
      </c>
      <c r="I10" s="5">
        <v>0.09451679232350925</v>
      </c>
      <c r="J10" s="5" t="s">
        <v>90</v>
      </c>
    </row>
    <row r="11" spans="1:10">
      <c r="A11" s="5" t="s">
        <v>91</v>
      </c>
      <c r="B11" s="5" t="s">
        <v>92</v>
      </c>
      <c r="C11" s="5" t="s">
        <v>72</v>
      </c>
      <c r="D11" s="5" t="s">
        <v>93</v>
      </c>
      <c r="E11" s="5">
        <v>1.286</v>
      </c>
      <c r="F11" s="5">
        <v>1.608</v>
      </c>
      <c r="G11" s="5">
        <v>1.922</v>
      </c>
      <c r="H11" s="5">
        <v>2.09</v>
      </c>
      <c r="I11" s="5">
        <v>0.110212474297464</v>
      </c>
      <c r="J11" s="5" t="s">
        <v>94</v>
      </c>
    </row>
    <row r="12" spans="1:10">
      <c r="A12" s="5" t="s">
        <v>95</v>
      </c>
      <c r="B12" s="5" t="s">
        <v>96</v>
      </c>
      <c r="C12" s="5" t="s">
        <v>72</v>
      </c>
      <c r="D12" s="5" t="s">
        <v>97</v>
      </c>
      <c r="E12" s="5">
        <v>0.919</v>
      </c>
      <c r="F12" s="5">
        <v>1.149</v>
      </c>
      <c r="G12" s="5">
        <v>1.373</v>
      </c>
      <c r="H12" s="5">
        <v>1.494</v>
      </c>
      <c r="I12" s="5">
        <v>0.07875257025359836</v>
      </c>
      <c r="J12" s="5" t="s">
        <v>98</v>
      </c>
    </row>
    <row r="13" spans="1:10">
      <c r="A13" s="5" t="s">
        <v>99</v>
      </c>
      <c r="B13" s="5" t="s">
        <v>100</v>
      </c>
      <c r="C13" s="5" t="s">
        <v>72</v>
      </c>
      <c r="D13" s="5" t="s">
        <v>101</v>
      </c>
      <c r="E13" s="5">
        <v>0.827</v>
      </c>
      <c r="F13" s="5">
        <v>1.034</v>
      </c>
      <c r="G13" s="5">
        <v>1.236</v>
      </c>
      <c r="H13" s="5">
        <v>1.344</v>
      </c>
      <c r="I13" s="5">
        <v>0.07087045921864291</v>
      </c>
      <c r="J13" s="5" t="s">
        <v>102</v>
      </c>
    </row>
    <row r="14" spans="1:10">
      <c r="A14" s="5" t="s">
        <v>103</v>
      </c>
      <c r="B14" s="5" t="s">
        <v>104</v>
      </c>
      <c r="C14" s="5" t="s">
        <v>72</v>
      </c>
      <c r="D14" s="5" t="s">
        <v>105</v>
      </c>
      <c r="E14" s="5">
        <v>0.919</v>
      </c>
      <c r="F14" s="5">
        <v>1.149</v>
      </c>
      <c r="G14" s="5">
        <v>1.373</v>
      </c>
      <c r="H14" s="5">
        <v>1.494</v>
      </c>
      <c r="I14" s="5">
        <v>0.07875257025359836</v>
      </c>
      <c r="J14" s="5" t="s">
        <v>106</v>
      </c>
    </row>
    <row r="15" spans="1:10">
      <c r="A15" s="5" t="s">
        <v>107</v>
      </c>
      <c r="B15" s="5" t="s">
        <v>108</v>
      </c>
      <c r="C15" s="5" t="s">
        <v>72</v>
      </c>
      <c r="D15" s="5" t="s">
        <v>109</v>
      </c>
      <c r="E15" s="5">
        <v>0.368</v>
      </c>
      <c r="F15" s="5">
        <v>0.46</v>
      </c>
      <c r="G15" s="5">
        <v>0.55</v>
      </c>
      <c r="H15" s="5">
        <v>0.598</v>
      </c>
      <c r="I15" s="5">
        <v>0.0315284441398218</v>
      </c>
      <c r="J15" s="5" t="s">
        <v>110</v>
      </c>
    </row>
    <row r="16" spans="1:10">
      <c r="A16" s="5" t="s">
        <v>111</v>
      </c>
      <c r="B16" s="5" t="s">
        <v>112</v>
      </c>
      <c r="C16" s="5" t="s">
        <v>113</v>
      </c>
      <c r="D16" s="5" t="s">
        <v>114</v>
      </c>
      <c r="E16" s="5">
        <v>0.643</v>
      </c>
      <c r="F16" s="5">
        <v>0.804</v>
      </c>
      <c r="G16" s="5">
        <v>0.961</v>
      </c>
      <c r="H16" s="5">
        <v>1.045</v>
      </c>
      <c r="I16" s="5">
        <v>0.05510623714873202</v>
      </c>
      <c r="J16" s="5" t="s">
        <v>115</v>
      </c>
    </row>
    <row r="17" spans="1:10">
      <c r="A17" s="5" t="s">
        <v>116</v>
      </c>
      <c r="B17" s="5" t="s">
        <v>117</v>
      </c>
      <c r="C17" s="5" t="s">
        <v>113</v>
      </c>
      <c r="D17" s="5" t="s">
        <v>118</v>
      </c>
      <c r="E17" s="5">
        <v>0.643</v>
      </c>
      <c r="F17" s="5">
        <v>0.804</v>
      </c>
      <c r="G17" s="5">
        <v>0.961</v>
      </c>
      <c r="H17" s="5">
        <v>1.045</v>
      </c>
      <c r="I17" s="5">
        <v>0.05510623714873202</v>
      </c>
      <c r="J17" s="5" t="s">
        <v>119</v>
      </c>
    </row>
    <row r="18" spans="1:10">
      <c r="A18" s="5" t="s">
        <v>120</v>
      </c>
      <c r="B18" s="5" t="s">
        <v>121</v>
      </c>
      <c r="C18" s="5" t="s">
        <v>113</v>
      </c>
      <c r="D18" s="5" t="s">
        <v>122</v>
      </c>
      <c r="E18" s="5">
        <v>0.276</v>
      </c>
      <c r="F18" s="5">
        <v>0.345</v>
      </c>
      <c r="G18" s="5">
        <v>0.412</v>
      </c>
      <c r="H18" s="5">
        <v>0.448</v>
      </c>
      <c r="I18" s="5">
        <v>0.02364633310486635</v>
      </c>
      <c r="J18" s="5" t="s">
        <v>123</v>
      </c>
    </row>
    <row r="19" spans="1:10">
      <c r="A19" s="5" t="s">
        <v>124</v>
      </c>
      <c r="B19" s="5" t="s">
        <v>125</v>
      </c>
      <c r="C19" s="5" t="s">
        <v>126</v>
      </c>
      <c r="D19" s="5" t="s">
        <v>127</v>
      </c>
      <c r="E19" s="5">
        <v>0.551</v>
      </c>
      <c r="F19" s="5">
        <v>0.6889999999999999</v>
      </c>
      <c r="G19" s="5">
        <v>0.823</v>
      </c>
      <c r="H19" s="5">
        <v>0.896</v>
      </c>
      <c r="I19" s="5">
        <v>0.04722412611377656</v>
      </c>
      <c r="J19" s="5" t="s">
        <v>128</v>
      </c>
    </row>
    <row r="20" spans="1:10">
      <c r="A20" s="5" t="s">
        <v>129</v>
      </c>
      <c r="B20" s="5" t="s">
        <v>130</v>
      </c>
      <c r="C20" s="5" t="s">
        <v>126</v>
      </c>
      <c r="D20" s="5" t="s">
        <v>131</v>
      </c>
      <c r="E20" s="5">
        <v>0.276</v>
      </c>
      <c r="F20" s="5">
        <v>0.345</v>
      </c>
      <c r="G20" s="5">
        <v>0.412</v>
      </c>
      <c r="H20" s="5">
        <v>0.448</v>
      </c>
      <c r="I20" s="5">
        <v>0.02364633310486635</v>
      </c>
      <c r="J20" s="5" t="s">
        <v>132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28.7109375" customWidth="1"/>
    <col min="5" max="5" width="12.7109375" customWidth="1"/>
    <col min="6" max="8" width="12.7109375" style="8" customWidth="1"/>
    <col min="9" max="9" width="45.7109375" customWidth="1"/>
  </cols>
  <sheetData>
    <row r="1" spans="1:9">
      <c r="A1" s="1" t="s">
        <v>133</v>
      </c>
      <c r="B1" s="1"/>
      <c r="C1" s="1"/>
      <c r="D1" s="1"/>
      <c r="E1" s="1"/>
      <c r="F1" s="1"/>
      <c r="G1" s="1"/>
      <c r="H1" s="1"/>
      <c r="I1" s="1"/>
    </row>
    <row r="5" spans="1:9">
      <c r="A5" s="7" t="s">
        <v>134</v>
      </c>
      <c r="B5" s="7" t="s">
        <v>135</v>
      </c>
      <c r="C5" s="7" t="s">
        <v>60</v>
      </c>
      <c r="D5" s="7" t="s">
        <v>61</v>
      </c>
      <c r="E5" s="7" t="s">
        <v>62</v>
      </c>
      <c r="F5" s="7" t="s">
        <v>64</v>
      </c>
      <c r="G5" s="7" t="s">
        <v>136</v>
      </c>
      <c r="H5" s="7" t="s">
        <v>67</v>
      </c>
      <c r="I5" s="7" t="s">
        <v>137</v>
      </c>
    </row>
    <row r="6" spans="1:9">
      <c r="A6" s="5">
        <v>1</v>
      </c>
      <c r="B6" s="5" t="s">
        <v>138</v>
      </c>
      <c r="C6" s="5" t="s">
        <v>70</v>
      </c>
      <c r="D6" s="5" t="s">
        <v>71</v>
      </c>
      <c r="E6" s="5" t="s">
        <v>72</v>
      </c>
      <c r="F6" s="5">
        <v>0.62</v>
      </c>
      <c r="G6" s="5">
        <v>0.6889999999999999</v>
      </c>
      <c r="H6" s="5">
        <v>0.792</v>
      </c>
      <c r="I6" s="5" t="s">
        <v>73</v>
      </c>
    </row>
    <row r="7" spans="1:9">
      <c r="A7" s="5">
        <v>1</v>
      </c>
      <c r="B7" s="5" t="s">
        <v>138</v>
      </c>
      <c r="C7" s="5" t="s">
        <v>75</v>
      </c>
      <c r="D7" s="5" t="s">
        <v>76</v>
      </c>
      <c r="E7" s="5" t="s">
        <v>72</v>
      </c>
      <c r="F7" s="5">
        <v>0.827</v>
      </c>
      <c r="G7" s="5">
        <v>0.919</v>
      </c>
      <c r="H7" s="5">
        <v>1.057</v>
      </c>
      <c r="I7" s="5" t="s">
        <v>77</v>
      </c>
    </row>
    <row r="8" spans="1:9">
      <c r="A8" s="5">
        <v>1</v>
      </c>
      <c r="B8" s="5" t="s">
        <v>138</v>
      </c>
      <c r="C8" s="5" t="s">
        <v>79</v>
      </c>
      <c r="D8" s="5" t="s">
        <v>80</v>
      </c>
      <c r="E8" s="5" t="s">
        <v>72</v>
      </c>
      <c r="F8" s="5">
        <v>1.447</v>
      </c>
      <c r="G8" s="5">
        <v>1.608</v>
      </c>
      <c r="H8" s="5">
        <v>1.849</v>
      </c>
      <c r="I8" s="5" t="s">
        <v>81</v>
      </c>
    </row>
    <row r="9" spans="1:9">
      <c r="A9" s="5">
        <v>1</v>
      </c>
      <c r="B9" s="5" t="s">
        <v>138</v>
      </c>
      <c r="C9" s="5" t="s">
        <v>83</v>
      </c>
      <c r="D9" s="5" t="s">
        <v>84</v>
      </c>
      <c r="E9" s="5" t="s">
        <v>72</v>
      </c>
      <c r="F9" s="5">
        <v>1.447</v>
      </c>
      <c r="G9" s="5">
        <v>1.608</v>
      </c>
      <c r="H9" s="5">
        <v>1.849</v>
      </c>
      <c r="I9" s="5" t="s">
        <v>85</v>
      </c>
    </row>
    <row r="10" spans="1:9">
      <c r="A10" s="5">
        <v>1</v>
      </c>
      <c r="B10" s="5" t="s">
        <v>138</v>
      </c>
      <c r="C10" s="5" t="s">
        <v>87</v>
      </c>
      <c r="D10" s="5" t="s">
        <v>88</v>
      </c>
      <c r="E10" s="5" t="s">
        <v>72</v>
      </c>
      <c r="F10" s="5">
        <v>1.241</v>
      </c>
      <c r="G10" s="5">
        <v>1.379</v>
      </c>
      <c r="H10" s="5">
        <v>1.586</v>
      </c>
      <c r="I10" s="5" t="s">
        <v>89</v>
      </c>
    </row>
    <row r="11" spans="1:9">
      <c r="A11" s="5">
        <v>1</v>
      </c>
      <c r="B11" s="5" t="s">
        <v>138</v>
      </c>
      <c r="C11" s="5" t="s">
        <v>91</v>
      </c>
      <c r="D11" s="5" t="s">
        <v>92</v>
      </c>
      <c r="E11" s="5" t="s">
        <v>72</v>
      </c>
      <c r="F11" s="5">
        <v>1.447</v>
      </c>
      <c r="G11" s="5">
        <v>1.608</v>
      </c>
      <c r="H11" s="5">
        <v>1.849</v>
      </c>
      <c r="I11" s="5" t="s">
        <v>93</v>
      </c>
    </row>
    <row r="12" spans="1:9">
      <c r="A12" s="5">
        <v>1</v>
      </c>
      <c r="B12" s="5" t="s">
        <v>138</v>
      </c>
      <c r="C12" s="5" t="s">
        <v>95</v>
      </c>
      <c r="D12" s="5" t="s">
        <v>96</v>
      </c>
      <c r="E12" s="5" t="s">
        <v>72</v>
      </c>
      <c r="F12" s="5">
        <v>1.034</v>
      </c>
      <c r="G12" s="5">
        <v>1.149</v>
      </c>
      <c r="H12" s="5">
        <v>1.321</v>
      </c>
      <c r="I12" s="5" t="s">
        <v>97</v>
      </c>
    </row>
    <row r="13" spans="1:9">
      <c r="A13" s="5">
        <v>1</v>
      </c>
      <c r="B13" s="5" t="s">
        <v>138</v>
      </c>
      <c r="C13" s="5" t="s">
        <v>99</v>
      </c>
      <c r="D13" s="5" t="s">
        <v>100</v>
      </c>
      <c r="E13" s="5" t="s">
        <v>72</v>
      </c>
      <c r="F13" s="5">
        <v>0.931</v>
      </c>
      <c r="G13" s="5">
        <v>1.034</v>
      </c>
      <c r="H13" s="5">
        <v>1.189</v>
      </c>
      <c r="I13" s="5" t="s">
        <v>101</v>
      </c>
    </row>
    <row r="14" spans="1:9">
      <c r="A14" s="5">
        <v>1</v>
      </c>
      <c r="B14" s="5" t="s">
        <v>138</v>
      </c>
      <c r="C14" s="5" t="s">
        <v>103</v>
      </c>
      <c r="D14" s="5" t="s">
        <v>104</v>
      </c>
      <c r="E14" s="5" t="s">
        <v>72</v>
      </c>
      <c r="F14" s="5">
        <v>1.034</v>
      </c>
      <c r="G14" s="5">
        <v>1.149</v>
      </c>
      <c r="H14" s="5">
        <v>1.321</v>
      </c>
      <c r="I14" s="5" t="s">
        <v>105</v>
      </c>
    </row>
    <row r="15" spans="1:9">
      <c r="A15" s="5">
        <v>1</v>
      </c>
      <c r="B15" s="5" t="s">
        <v>138</v>
      </c>
      <c r="C15" s="5" t="s">
        <v>107</v>
      </c>
      <c r="D15" s="5" t="s">
        <v>108</v>
      </c>
      <c r="E15" s="5" t="s">
        <v>72</v>
      </c>
      <c r="F15" s="5">
        <v>0.414</v>
      </c>
      <c r="G15" s="5">
        <v>0.46</v>
      </c>
      <c r="H15" s="5">
        <v>0.529</v>
      </c>
      <c r="I15" s="5" t="s">
        <v>109</v>
      </c>
    </row>
    <row r="16" spans="1:9">
      <c r="A16" s="5">
        <v>1</v>
      </c>
      <c r="B16" s="5" t="s">
        <v>138</v>
      </c>
      <c r="C16" s="5" t="s">
        <v>111</v>
      </c>
      <c r="D16" s="5" t="s">
        <v>112</v>
      </c>
      <c r="E16" s="5" t="s">
        <v>113</v>
      </c>
      <c r="F16" s="5">
        <v>0.724</v>
      </c>
      <c r="G16" s="5">
        <v>0.804</v>
      </c>
      <c r="H16" s="5">
        <v>0.925</v>
      </c>
      <c r="I16" s="5" t="s">
        <v>114</v>
      </c>
    </row>
    <row r="17" spans="1:9">
      <c r="A17" s="5">
        <v>1</v>
      </c>
      <c r="B17" s="5" t="s">
        <v>138</v>
      </c>
      <c r="C17" s="5" t="s">
        <v>116</v>
      </c>
      <c r="D17" s="5" t="s">
        <v>117</v>
      </c>
      <c r="E17" s="5" t="s">
        <v>113</v>
      </c>
      <c r="F17" s="5">
        <v>0.724</v>
      </c>
      <c r="G17" s="5">
        <v>0.804</v>
      </c>
      <c r="H17" s="5">
        <v>0.925</v>
      </c>
      <c r="I17" s="5" t="s">
        <v>118</v>
      </c>
    </row>
    <row r="18" spans="1:9">
      <c r="A18" s="5">
        <v>1</v>
      </c>
      <c r="B18" s="5" t="s">
        <v>138</v>
      </c>
      <c r="C18" s="5" t="s">
        <v>120</v>
      </c>
      <c r="D18" s="5" t="s">
        <v>121</v>
      </c>
      <c r="E18" s="5" t="s">
        <v>113</v>
      </c>
      <c r="F18" s="5">
        <v>0.31</v>
      </c>
      <c r="G18" s="5">
        <v>0.345</v>
      </c>
      <c r="H18" s="5">
        <v>0.397</v>
      </c>
      <c r="I18" s="5" t="s">
        <v>122</v>
      </c>
    </row>
    <row r="19" spans="1:9">
      <c r="A19" s="5">
        <v>1</v>
      </c>
      <c r="B19" s="5" t="s">
        <v>138</v>
      </c>
      <c r="C19" s="5" t="s">
        <v>124</v>
      </c>
      <c r="D19" s="5" t="s">
        <v>125</v>
      </c>
      <c r="E19" s="5" t="s">
        <v>126</v>
      </c>
      <c r="F19" s="5">
        <v>0.62</v>
      </c>
      <c r="G19" s="5">
        <v>0.6889999999999999</v>
      </c>
      <c r="H19" s="5">
        <v>0.792</v>
      </c>
      <c r="I19" s="5" t="s">
        <v>127</v>
      </c>
    </row>
    <row r="20" spans="1:9">
      <c r="A20" s="5">
        <v>1</v>
      </c>
      <c r="B20" s="5" t="s">
        <v>138</v>
      </c>
      <c r="C20" s="5" t="s">
        <v>129</v>
      </c>
      <c r="D20" s="5" t="s">
        <v>130</v>
      </c>
      <c r="E20" s="5" t="s">
        <v>126</v>
      </c>
      <c r="F20" s="5">
        <v>0.31</v>
      </c>
      <c r="G20" s="5">
        <v>0.345</v>
      </c>
      <c r="H20" s="5">
        <v>0.397</v>
      </c>
      <c r="I20" s="5" t="s">
        <v>131</v>
      </c>
    </row>
    <row r="21" spans="1:9">
      <c r="A21" s="5">
        <v>2</v>
      </c>
      <c r="B21" s="5" t="s">
        <v>139</v>
      </c>
      <c r="C21" s="5" t="s">
        <v>70</v>
      </c>
      <c r="D21" s="5" t="s">
        <v>71</v>
      </c>
      <c r="E21" s="5" t="s">
        <v>72</v>
      </c>
      <c r="F21" s="5">
        <v>0.586</v>
      </c>
      <c r="G21" s="5">
        <v>0.6889999999999999</v>
      </c>
      <c r="H21" s="5">
        <v>0.827</v>
      </c>
      <c r="I21" s="5" t="s">
        <v>73</v>
      </c>
    </row>
    <row r="22" spans="1:9">
      <c r="A22" s="5">
        <v>2</v>
      </c>
      <c r="B22" s="5" t="s">
        <v>139</v>
      </c>
      <c r="C22" s="5" t="s">
        <v>75</v>
      </c>
      <c r="D22" s="5" t="s">
        <v>76</v>
      </c>
      <c r="E22" s="5" t="s">
        <v>72</v>
      </c>
      <c r="F22" s="5">
        <v>0.781</v>
      </c>
      <c r="G22" s="5">
        <v>0.919</v>
      </c>
      <c r="H22" s="5">
        <v>1.103</v>
      </c>
      <c r="I22" s="5" t="s">
        <v>77</v>
      </c>
    </row>
    <row r="23" spans="1:9">
      <c r="A23" s="5">
        <v>2</v>
      </c>
      <c r="B23" s="5" t="s">
        <v>139</v>
      </c>
      <c r="C23" s="5" t="s">
        <v>79</v>
      </c>
      <c r="D23" s="5" t="s">
        <v>80</v>
      </c>
      <c r="E23" s="5" t="s">
        <v>72</v>
      </c>
      <c r="F23" s="5">
        <v>1.367</v>
      </c>
      <c r="G23" s="5">
        <v>1.608</v>
      </c>
      <c r="H23" s="5">
        <v>1.93</v>
      </c>
      <c r="I23" s="5" t="s">
        <v>81</v>
      </c>
    </row>
    <row r="24" spans="1:9">
      <c r="A24" s="5">
        <v>2</v>
      </c>
      <c r="B24" s="5" t="s">
        <v>139</v>
      </c>
      <c r="C24" s="5" t="s">
        <v>83</v>
      </c>
      <c r="D24" s="5" t="s">
        <v>84</v>
      </c>
      <c r="E24" s="5" t="s">
        <v>72</v>
      </c>
      <c r="F24" s="5">
        <v>1.367</v>
      </c>
      <c r="G24" s="5">
        <v>1.608</v>
      </c>
      <c r="H24" s="5">
        <v>1.93</v>
      </c>
      <c r="I24" s="5" t="s">
        <v>85</v>
      </c>
    </row>
    <row r="25" spans="1:9">
      <c r="A25" s="5">
        <v>2</v>
      </c>
      <c r="B25" s="5" t="s">
        <v>139</v>
      </c>
      <c r="C25" s="5" t="s">
        <v>87</v>
      </c>
      <c r="D25" s="5" t="s">
        <v>88</v>
      </c>
      <c r="E25" s="5" t="s">
        <v>72</v>
      </c>
      <c r="F25" s="5">
        <v>1.172</v>
      </c>
      <c r="G25" s="5">
        <v>1.379</v>
      </c>
      <c r="H25" s="5">
        <v>1.655</v>
      </c>
      <c r="I25" s="5" t="s">
        <v>89</v>
      </c>
    </row>
    <row r="26" spans="1:9">
      <c r="A26" s="5">
        <v>2</v>
      </c>
      <c r="B26" s="5" t="s">
        <v>139</v>
      </c>
      <c r="C26" s="5" t="s">
        <v>91</v>
      </c>
      <c r="D26" s="5" t="s">
        <v>92</v>
      </c>
      <c r="E26" s="5" t="s">
        <v>72</v>
      </c>
      <c r="F26" s="5">
        <v>1.367</v>
      </c>
      <c r="G26" s="5">
        <v>1.608</v>
      </c>
      <c r="H26" s="5">
        <v>1.93</v>
      </c>
      <c r="I26" s="5" t="s">
        <v>93</v>
      </c>
    </row>
    <row r="27" spans="1:9">
      <c r="A27" s="5">
        <v>2</v>
      </c>
      <c r="B27" s="5" t="s">
        <v>139</v>
      </c>
      <c r="C27" s="5" t="s">
        <v>95</v>
      </c>
      <c r="D27" s="5" t="s">
        <v>96</v>
      </c>
      <c r="E27" s="5" t="s">
        <v>72</v>
      </c>
      <c r="F27" s="5">
        <v>0.977</v>
      </c>
      <c r="G27" s="5">
        <v>1.149</v>
      </c>
      <c r="H27" s="5">
        <v>1.379</v>
      </c>
      <c r="I27" s="5" t="s">
        <v>97</v>
      </c>
    </row>
    <row r="28" spans="1:9">
      <c r="A28" s="5">
        <v>2</v>
      </c>
      <c r="B28" s="5" t="s">
        <v>139</v>
      </c>
      <c r="C28" s="5" t="s">
        <v>99</v>
      </c>
      <c r="D28" s="5" t="s">
        <v>100</v>
      </c>
      <c r="E28" s="5" t="s">
        <v>72</v>
      </c>
      <c r="F28" s="5">
        <v>0.879</v>
      </c>
      <c r="G28" s="5">
        <v>1.034</v>
      </c>
      <c r="H28" s="5">
        <v>1.241</v>
      </c>
      <c r="I28" s="5" t="s">
        <v>101</v>
      </c>
    </row>
    <row r="29" spans="1:9">
      <c r="A29" s="5">
        <v>2</v>
      </c>
      <c r="B29" s="5" t="s">
        <v>139</v>
      </c>
      <c r="C29" s="5" t="s">
        <v>103</v>
      </c>
      <c r="D29" s="5" t="s">
        <v>104</v>
      </c>
      <c r="E29" s="5" t="s">
        <v>72</v>
      </c>
      <c r="F29" s="5">
        <v>0.977</v>
      </c>
      <c r="G29" s="5">
        <v>1.149</v>
      </c>
      <c r="H29" s="5">
        <v>1.379</v>
      </c>
      <c r="I29" s="5" t="s">
        <v>105</v>
      </c>
    </row>
    <row r="30" spans="1:9">
      <c r="A30" s="5">
        <v>2</v>
      </c>
      <c r="B30" s="5" t="s">
        <v>139</v>
      </c>
      <c r="C30" s="5" t="s">
        <v>107</v>
      </c>
      <c r="D30" s="5" t="s">
        <v>108</v>
      </c>
      <c r="E30" s="5" t="s">
        <v>72</v>
      </c>
      <c r="F30" s="5">
        <v>0.391</v>
      </c>
      <c r="G30" s="5">
        <v>0.46</v>
      </c>
      <c r="H30" s="5">
        <v>0.552</v>
      </c>
      <c r="I30" s="5" t="s">
        <v>109</v>
      </c>
    </row>
    <row r="31" spans="1:9">
      <c r="A31" s="5">
        <v>2</v>
      </c>
      <c r="B31" s="5" t="s">
        <v>139</v>
      </c>
      <c r="C31" s="5" t="s">
        <v>111</v>
      </c>
      <c r="D31" s="5" t="s">
        <v>112</v>
      </c>
      <c r="E31" s="5" t="s">
        <v>113</v>
      </c>
      <c r="F31" s="5">
        <v>0.6830000000000001</v>
      </c>
      <c r="G31" s="5">
        <v>0.804</v>
      </c>
      <c r="H31" s="5">
        <v>0.965</v>
      </c>
      <c r="I31" s="5" t="s">
        <v>114</v>
      </c>
    </row>
    <row r="32" spans="1:9">
      <c r="A32" s="5">
        <v>2</v>
      </c>
      <c r="B32" s="5" t="s">
        <v>139</v>
      </c>
      <c r="C32" s="5" t="s">
        <v>116</v>
      </c>
      <c r="D32" s="5" t="s">
        <v>117</v>
      </c>
      <c r="E32" s="5" t="s">
        <v>113</v>
      </c>
      <c r="F32" s="5">
        <v>0.6830000000000001</v>
      </c>
      <c r="G32" s="5">
        <v>0.804</v>
      </c>
      <c r="H32" s="5">
        <v>0.965</v>
      </c>
      <c r="I32" s="5" t="s">
        <v>118</v>
      </c>
    </row>
    <row r="33" spans="1:9">
      <c r="A33" s="5">
        <v>2</v>
      </c>
      <c r="B33" s="5" t="s">
        <v>139</v>
      </c>
      <c r="C33" s="5" t="s">
        <v>120</v>
      </c>
      <c r="D33" s="5" t="s">
        <v>121</v>
      </c>
      <c r="E33" s="5" t="s">
        <v>113</v>
      </c>
      <c r="F33" s="5">
        <v>0.293</v>
      </c>
      <c r="G33" s="5">
        <v>0.345</v>
      </c>
      <c r="H33" s="5">
        <v>0.414</v>
      </c>
      <c r="I33" s="5" t="s">
        <v>122</v>
      </c>
    </row>
    <row r="34" spans="1:9">
      <c r="A34" s="5">
        <v>2</v>
      </c>
      <c r="B34" s="5" t="s">
        <v>139</v>
      </c>
      <c r="C34" s="5" t="s">
        <v>124</v>
      </c>
      <c r="D34" s="5" t="s">
        <v>125</v>
      </c>
      <c r="E34" s="5" t="s">
        <v>126</v>
      </c>
      <c r="F34" s="5">
        <v>0.586</v>
      </c>
      <c r="G34" s="5">
        <v>0.6889999999999999</v>
      </c>
      <c r="H34" s="5">
        <v>0.827</v>
      </c>
      <c r="I34" s="5" t="s">
        <v>127</v>
      </c>
    </row>
    <row r="35" spans="1:9">
      <c r="A35" s="5">
        <v>2</v>
      </c>
      <c r="B35" s="5" t="s">
        <v>139</v>
      </c>
      <c r="C35" s="5" t="s">
        <v>129</v>
      </c>
      <c r="D35" s="5" t="s">
        <v>130</v>
      </c>
      <c r="E35" s="5" t="s">
        <v>126</v>
      </c>
      <c r="F35" s="5">
        <v>0.293</v>
      </c>
      <c r="G35" s="5">
        <v>0.345</v>
      </c>
      <c r="H35" s="5">
        <v>0.414</v>
      </c>
      <c r="I35" s="5" t="s">
        <v>131</v>
      </c>
    </row>
    <row r="36" spans="1:9">
      <c r="A36" s="5">
        <v>3</v>
      </c>
      <c r="B36" s="5" t="s">
        <v>140</v>
      </c>
      <c r="C36" s="5" t="s">
        <v>70</v>
      </c>
      <c r="D36" s="5" t="s">
        <v>71</v>
      </c>
      <c r="E36" s="5" t="s">
        <v>72</v>
      </c>
      <c r="F36" s="5">
        <v>0.551</v>
      </c>
      <c r="G36" s="5">
        <v>0.6889999999999999</v>
      </c>
      <c r="H36" s="5">
        <v>0.896</v>
      </c>
      <c r="I36" s="5" t="s">
        <v>73</v>
      </c>
    </row>
    <row r="37" spans="1:9">
      <c r="A37" s="5">
        <v>3</v>
      </c>
      <c r="B37" s="5" t="s">
        <v>140</v>
      </c>
      <c r="C37" s="5" t="s">
        <v>75</v>
      </c>
      <c r="D37" s="5" t="s">
        <v>76</v>
      </c>
      <c r="E37" s="5" t="s">
        <v>72</v>
      </c>
      <c r="F37" s="5">
        <v>0.735</v>
      </c>
      <c r="G37" s="5">
        <v>0.919</v>
      </c>
      <c r="H37" s="5">
        <v>1.195</v>
      </c>
      <c r="I37" s="5" t="s">
        <v>77</v>
      </c>
    </row>
    <row r="38" spans="1:9">
      <c r="A38" s="5">
        <v>3</v>
      </c>
      <c r="B38" s="5" t="s">
        <v>140</v>
      </c>
      <c r="C38" s="5" t="s">
        <v>79</v>
      </c>
      <c r="D38" s="5" t="s">
        <v>80</v>
      </c>
      <c r="E38" s="5" t="s">
        <v>72</v>
      </c>
      <c r="F38" s="5">
        <v>1.286</v>
      </c>
      <c r="G38" s="5">
        <v>1.608</v>
      </c>
      <c r="H38" s="5">
        <v>2.09</v>
      </c>
      <c r="I38" s="5" t="s">
        <v>81</v>
      </c>
    </row>
    <row r="39" spans="1:9">
      <c r="A39" s="5">
        <v>3</v>
      </c>
      <c r="B39" s="5" t="s">
        <v>140</v>
      </c>
      <c r="C39" s="5" t="s">
        <v>83</v>
      </c>
      <c r="D39" s="5" t="s">
        <v>84</v>
      </c>
      <c r="E39" s="5" t="s">
        <v>72</v>
      </c>
      <c r="F39" s="5">
        <v>1.286</v>
      </c>
      <c r="G39" s="5">
        <v>1.608</v>
      </c>
      <c r="H39" s="5">
        <v>2.09</v>
      </c>
      <c r="I39" s="5" t="s">
        <v>85</v>
      </c>
    </row>
    <row r="40" spans="1:9">
      <c r="A40" s="5">
        <v>3</v>
      </c>
      <c r="B40" s="5" t="s">
        <v>140</v>
      </c>
      <c r="C40" s="5" t="s">
        <v>87</v>
      </c>
      <c r="D40" s="5" t="s">
        <v>88</v>
      </c>
      <c r="E40" s="5" t="s">
        <v>72</v>
      </c>
      <c r="F40" s="5">
        <v>1.103</v>
      </c>
      <c r="G40" s="5">
        <v>1.379</v>
      </c>
      <c r="H40" s="5">
        <v>1.793</v>
      </c>
      <c r="I40" s="5" t="s">
        <v>89</v>
      </c>
    </row>
    <row r="41" spans="1:9">
      <c r="A41" s="5">
        <v>3</v>
      </c>
      <c r="B41" s="5" t="s">
        <v>140</v>
      </c>
      <c r="C41" s="5" t="s">
        <v>91</v>
      </c>
      <c r="D41" s="5" t="s">
        <v>92</v>
      </c>
      <c r="E41" s="5" t="s">
        <v>72</v>
      </c>
      <c r="F41" s="5">
        <v>1.286</v>
      </c>
      <c r="G41" s="5">
        <v>1.608</v>
      </c>
      <c r="H41" s="5">
        <v>2.09</v>
      </c>
      <c r="I41" s="5" t="s">
        <v>93</v>
      </c>
    </row>
    <row r="42" spans="1:9">
      <c r="A42" s="5">
        <v>3</v>
      </c>
      <c r="B42" s="5" t="s">
        <v>140</v>
      </c>
      <c r="C42" s="5" t="s">
        <v>95</v>
      </c>
      <c r="D42" s="5" t="s">
        <v>96</v>
      </c>
      <c r="E42" s="5" t="s">
        <v>72</v>
      </c>
      <c r="F42" s="5">
        <v>0.919</v>
      </c>
      <c r="G42" s="5">
        <v>1.149</v>
      </c>
      <c r="H42" s="5">
        <v>1.494</v>
      </c>
      <c r="I42" s="5" t="s">
        <v>97</v>
      </c>
    </row>
    <row r="43" spans="1:9">
      <c r="A43" s="5">
        <v>3</v>
      </c>
      <c r="B43" s="5" t="s">
        <v>140</v>
      </c>
      <c r="C43" s="5" t="s">
        <v>99</v>
      </c>
      <c r="D43" s="5" t="s">
        <v>100</v>
      </c>
      <c r="E43" s="5" t="s">
        <v>72</v>
      </c>
      <c r="F43" s="5">
        <v>0.827</v>
      </c>
      <c r="G43" s="5">
        <v>1.034</v>
      </c>
      <c r="H43" s="5">
        <v>1.344</v>
      </c>
      <c r="I43" s="5" t="s">
        <v>101</v>
      </c>
    </row>
    <row r="44" spans="1:9">
      <c r="A44" s="5">
        <v>3</v>
      </c>
      <c r="B44" s="5" t="s">
        <v>140</v>
      </c>
      <c r="C44" s="5" t="s">
        <v>103</v>
      </c>
      <c r="D44" s="5" t="s">
        <v>104</v>
      </c>
      <c r="E44" s="5" t="s">
        <v>72</v>
      </c>
      <c r="F44" s="5">
        <v>0.919</v>
      </c>
      <c r="G44" s="5">
        <v>1.149</v>
      </c>
      <c r="H44" s="5">
        <v>1.494</v>
      </c>
      <c r="I44" s="5" t="s">
        <v>105</v>
      </c>
    </row>
    <row r="45" spans="1:9">
      <c r="A45" s="5">
        <v>3</v>
      </c>
      <c r="B45" s="5" t="s">
        <v>140</v>
      </c>
      <c r="C45" s="5" t="s">
        <v>107</v>
      </c>
      <c r="D45" s="5" t="s">
        <v>108</v>
      </c>
      <c r="E45" s="5" t="s">
        <v>72</v>
      </c>
      <c r="F45" s="5">
        <v>0.368</v>
      </c>
      <c r="G45" s="5">
        <v>0.46</v>
      </c>
      <c r="H45" s="5">
        <v>0.598</v>
      </c>
      <c r="I45" s="5" t="s">
        <v>109</v>
      </c>
    </row>
    <row r="46" spans="1:9">
      <c r="A46" s="5">
        <v>3</v>
      </c>
      <c r="B46" s="5" t="s">
        <v>140</v>
      </c>
      <c r="C46" s="5" t="s">
        <v>111</v>
      </c>
      <c r="D46" s="5" t="s">
        <v>112</v>
      </c>
      <c r="E46" s="5" t="s">
        <v>113</v>
      </c>
      <c r="F46" s="5">
        <v>0.643</v>
      </c>
      <c r="G46" s="5">
        <v>0.804</v>
      </c>
      <c r="H46" s="5">
        <v>1.045</v>
      </c>
      <c r="I46" s="5" t="s">
        <v>114</v>
      </c>
    </row>
    <row r="47" spans="1:9">
      <c r="A47" s="5">
        <v>3</v>
      </c>
      <c r="B47" s="5" t="s">
        <v>140</v>
      </c>
      <c r="C47" s="5" t="s">
        <v>116</v>
      </c>
      <c r="D47" s="5" t="s">
        <v>117</v>
      </c>
      <c r="E47" s="5" t="s">
        <v>113</v>
      </c>
      <c r="F47" s="5">
        <v>0.643</v>
      </c>
      <c r="G47" s="5">
        <v>0.804</v>
      </c>
      <c r="H47" s="5">
        <v>1.045</v>
      </c>
      <c r="I47" s="5" t="s">
        <v>118</v>
      </c>
    </row>
    <row r="48" spans="1:9">
      <c r="A48" s="5">
        <v>3</v>
      </c>
      <c r="B48" s="5" t="s">
        <v>140</v>
      </c>
      <c r="C48" s="5" t="s">
        <v>120</v>
      </c>
      <c r="D48" s="5" t="s">
        <v>121</v>
      </c>
      <c r="E48" s="5" t="s">
        <v>113</v>
      </c>
      <c r="F48" s="5">
        <v>0.276</v>
      </c>
      <c r="G48" s="5">
        <v>0.345</v>
      </c>
      <c r="H48" s="5">
        <v>0.448</v>
      </c>
      <c r="I48" s="5" t="s">
        <v>122</v>
      </c>
    </row>
    <row r="49" spans="1:9">
      <c r="A49" s="5">
        <v>3</v>
      </c>
      <c r="B49" s="5" t="s">
        <v>140</v>
      </c>
      <c r="C49" s="5" t="s">
        <v>124</v>
      </c>
      <c r="D49" s="5" t="s">
        <v>125</v>
      </c>
      <c r="E49" s="5" t="s">
        <v>126</v>
      </c>
      <c r="F49" s="5">
        <v>0.551</v>
      </c>
      <c r="G49" s="5">
        <v>0.6889999999999999</v>
      </c>
      <c r="H49" s="5">
        <v>0.896</v>
      </c>
      <c r="I49" s="5" t="s">
        <v>127</v>
      </c>
    </row>
    <row r="50" spans="1:9">
      <c r="A50" s="5">
        <v>3</v>
      </c>
      <c r="B50" s="5" t="s">
        <v>140</v>
      </c>
      <c r="C50" s="5" t="s">
        <v>129</v>
      </c>
      <c r="D50" s="5" t="s">
        <v>130</v>
      </c>
      <c r="E50" s="5" t="s">
        <v>126</v>
      </c>
      <c r="F50" s="5">
        <v>0.276</v>
      </c>
      <c r="G50" s="5">
        <v>0.345</v>
      </c>
      <c r="H50" s="5">
        <v>0.448</v>
      </c>
      <c r="I50" s="5" t="s">
        <v>131</v>
      </c>
    </row>
    <row r="51" spans="1:9">
      <c r="A51" s="5">
        <v>4</v>
      </c>
      <c r="B51" s="5" t="s">
        <v>141</v>
      </c>
      <c r="C51" s="5" t="s">
        <v>70</v>
      </c>
      <c r="D51" s="5" t="s">
        <v>71</v>
      </c>
      <c r="E51" s="5" t="s">
        <v>72</v>
      </c>
      <c r="F51" s="5">
        <v>0.482</v>
      </c>
      <c r="G51" s="5">
        <v>0.6889999999999999</v>
      </c>
      <c r="H51" s="5">
        <v>1.033</v>
      </c>
      <c r="I51" s="5" t="s">
        <v>73</v>
      </c>
    </row>
    <row r="52" spans="1:9">
      <c r="A52" s="5">
        <v>4</v>
      </c>
      <c r="B52" s="5" t="s">
        <v>141</v>
      </c>
      <c r="C52" s="5" t="s">
        <v>75</v>
      </c>
      <c r="D52" s="5" t="s">
        <v>76</v>
      </c>
      <c r="E52" s="5" t="s">
        <v>72</v>
      </c>
      <c r="F52" s="5">
        <v>0.643</v>
      </c>
      <c r="G52" s="5">
        <v>0.919</v>
      </c>
      <c r="H52" s="5">
        <v>1.379</v>
      </c>
      <c r="I52" s="5" t="s">
        <v>77</v>
      </c>
    </row>
    <row r="53" spans="1:9">
      <c r="A53" s="5">
        <v>4</v>
      </c>
      <c r="B53" s="5" t="s">
        <v>141</v>
      </c>
      <c r="C53" s="5" t="s">
        <v>79</v>
      </c>
      <c r="D53" s="5" t="s">
        <v>80</v>
      </c>
      <c r="E53" s="5" t="s">
        <v>72</v>
      </c>
      <c r="F53" s="5">
        <v>1.126</v>
      </c>
      <c r="G53" s="5">
        <v>1.608</v>
      </c>
      <c r="H53" s="5">
        <v>2.412</v>
      </c>
      <c r="I53" s="5" t="s">
        <v>81</v>
      </c>
    </row>
    <row r="54" spans="1:9">
      <c r="A54" s="5">
        <v>4</v>
      </c>
      <c r="B54" s="5" t="s">
        <v>141</v>
      </c>
      <c r="C54" s="5" t="s">
        <v>83</v>
      </c>
      <c r="D54" s="5" t="s">
        <v>84</v>
      </c>
      <c r="E54" s="5" t="s">
        <v>72</v>
      </c>
      <c r="F54" s="5">
        <v>1.126</v>
      </c>
      <c r="G54" s="5">
        <v>1.608</v>
      </c>
      <c r="H54" s="5">
        <v>2.412</v>
      </c>
      <c r="I54" s="5" t="s">
        <v>85</v>
      </c>
    </row>
    <row r="55" spans="1:9">
      <c r="A55" s="5">
        <v>4</v>
      </c>
      <c r="B55" s="5" t="s">
        <v>141</v>
      </c>
      <c r="C55" s="5" t="s">
        <v>87</v>
      </c>
      <c r="D55" s="5" t="s">
        <v>88</v>
      </c>
      <c r="E55" s="5" t="s">
        <v>72</v>
      </c>
      <c r="F55" s="5">
        <v>0.965</v>
      </c>
      <c r="G55" s="5">
        <v>1.379</v>
      </c>
      <c r="H55" s="5">
        <v>2.069</v>
      </c>
      <c r="I55" s="5" t="s">
        <v>89</v>
      </c>
    </row>
    <row r="56" spans="1:9">
      <c r="A56" s="5">
        <v>4</v>
      </c>
      <c r="B56" s="5" t="s">
        <v>141</v>
      </c>
      <c r="C56" s="5" t="s">
        <v>91</v>
      </c>
      <c r="D56" s="5" t="s">
        <v>92</v>
      </c>
      <c r="E56" s="5" t="s">
        <v>72</v>
      </c>
      <c r="F56" s="5">
        <v>1.126</v>
      </c>
      <c r="G56" s="5">
        <v>1.608</v>
      </c>
      <c r="H56" s="5">
        <v>2.412</v>
      </c>
      <c r="I56" s="5" t="s">
        <v>93</v>
      </c>
    </row>
    <row r="57" spans="1:9">
      <c r="A57" s="5">
        <v>4</v>
      </c>
      <c r="B57" s="5" t="s">
        <v>141</v>
      </c>
      <c r="C57" s="5" t="s">
        <v>95</v>
      </c>
      <c r="D57" s="5" t="s">
        <v>96</v>
      </c>
      <c r="E57" s="5" t="s">
        <v>72</v>
      </c>
      <c r="F57" s="5">
        <v>0.804</v>
      </c>
      <c r="G57" s="5">
        <v>1.149</v>
      </c>
      <c r="H57" s="5">
        <v>1.724</v>
      </c>
      <c r="I57" s="5" t="s">
        <v>97</v>
      </c>
    </row>
    <row r="58" spans="1:9">
      <c r="A58" s="5">
        <v>4</v>
      </c>
      <c r="B58" s="5" t="s">
        <v>141</v>
      </c>
      <c r="C58" s="5" t="s">
        <v>99</v>
      </c>
      <c r="D58" s="5" t="s">
        <v>100</v>
      </c>
      <c r="E58" s="5" t="s">
        <v>72</v>
      </c>
      <c r="F58" s="5">
        <v>0.724</v>
      </c>
      <c r="G58" s="5">
        <v>1.034</v>
      </c>
      <c r="H58" s="5">
        <v>1.551</v>
      </c>
      <c r="I58" s="5" t="s">
        <v>101</v>
      </c>
    </row>
    <row r="59" spans="1:9">
      <c r="A59" s="5">
        <v>4</v>
      </c>
      <c r="B59" s="5" t="s">
        <v>141</v>
      </c>
      <c r="C59" s="5" t="s">
        <v>103</v>
      </c>
      <c r="D59" s="5" t="s">
        <v>104</v>
      </c>
      <c r="E59" s="5" t="s">
        <v>72</v>
      </c>
      <c r="F59" s="5">
        <v>0.804</v>
      </c>
      <c r="G59" s="5">
        <v>1.149</v>
      </c>
      <c r="H59" s="5">
        <v>1.724</v>
      </c>
      <c r="I59" s="5" t="s">
        <v>105</v>
      </c>
    </row>
    <row r="60" spans="1:9">
      <c r="A60" s="5">
        <v>4</v>
      </c>
      <c r="B60" s="5" t="s">
        <v>141</v>
      </c>
      <c r="C60" s="5" t="s">
        <v>107</v>
      </c>
      <c r="D60" s="5" t="s">
        <v>108</v>
      </c>
      <c r="E60" s="5" t="s">
        <v>72</v>
      </c>
      <c r="F60" s="5">
        <v>0.322</v>
      </c>
      <c r="G60" s="5">
        <v>0.46</v>
      </c>
      <c r="H60" s="5">
        <v>0.6899999999999999</v>
      </c>
      <c r="I60" s="5" t="s">
        <v>109</v>
      </c>
    </row>
    <row r="61" spans="1:9">
      <c r="A61" s="5">
        <v>4</v>
      </c>
      <c r="B61" s="5" t="s">
        <v>141</v>
      </c>
      <c r="C61" s="5" t="s">
        <v>111</v>
      </c>
      <c r="D61" s="5" t="s">
        <v>112</v>
      </c>
      <c r="E61" s="5" t="s">
        <v>113</v>
      </c>
      <c r="F61" s="5">
        <v>0.5629999999999999</v>
      </c>
      <c r="G61" s="5">
        <v>0.804</v>
      </c>
      <c r="H61" s="5">
        <v>1.206</v>
      </c>
      <c r="I61" s="5" t="s">
        <v>114</v>
      </c>
    </row>
    <row r="62" spans="1:9">
      <c r="A62" s="5">
        <v>4</v>
      </c>
      <c r="B62" s="5" t="s">
        <v>141</v>
      </c>
      <c r="C62" s="5" t="s">
        <v>116</v>
      </c>
      <c r="D62" s="5" t="s">
        <v>117</v>
      </c>
      <c r="E62" s="5" t="s">
        <v>113</v>
      </c>
      <c r="F62" s="5">
        <v>0.5629999999999999</v>
      </c>
      <c r="G62" s="5">
        <v>0.804</v>
      </c>
      <c r="H62" s="5">
        <v>1.206</v>
      </c>
      <c r="I62" s="5" t="s">
        <v>118</v>
      </c>
    </row>
    <row r="63" spans="1:9">
      <c r="A63" s="5">
        <v>4</v>
      </c>
      <c r="B63" s="5" t="s">
        <v>141</v>
      </c>
      <c r="C63" s="5" t="s">
        <v>120</v>
      </c>
      <c r="D63" s="5" t="s">
        <v>121</v>
      </c>
      <c r="E63" s="5" t="s">
        <v>113</v>
      </c>
      <c r="F63" s="5">
        <v>0.241</v>
      </c>
      <c r="G63" s="5">
        <v>0.345</v>
      </c>
      <c r="H63" s="5">
        <v>0.517</v>
      </c>
      <c r="I63" s="5" t="s">
        <v>122</v>
      </c>
    </row>
    <row r="64" spans="1:9">
      <c r="A64" s="5">
        <v>4</v>
      </c>
      <c r="B64" s="5" t="s">
        <v>141</v>
      </c>
      <c r="C64" s="5" t="s">
        <v>124</v>
      </c>
      <c r="D64" s="5" t="s">
        <v>125</v>
      </c>
      <c r="E64" s="5" t="s">
        <v>126</v>
      </c>
      <c r="F64" s="5">
        <v>0.482</v>
      </c>
      <c r="G64" s="5">
        <v>0.6889999999999999</v>
      </c>
      <c r="H64" s="5">
        <v>1.033</v>
      </c>
      <c r="I64" s="5" t="s">
        <v>127</v>
      </c>
    </row>
    <row r="65" spans="1:9">
      <c r="A65" s="5">
        <v>4</v>
      </c>
      <c r="B65" s="5" t="s">
        <v>141</v>
      </c>
      <c r="C65" s="5" t="s">
        <v>129</v>
      </c>
      <c r="D65" s="5" t="s">
        <v>130</v>
      </c>
      <c r="E65" s="5" t="s">
        <v>126</v>
      </c>
      <c r="F65" s="5">
        <v>0.241</v>
      </c>
      <c r="G65" s="5">
        <v>0.345</v>
      </c>
      <c r="H65" s="5">
        <v>0.517</v>
      </c>
      <c r="I65" s="5" t="s">
        <v>131</v>
      </c>
    </row>
    <row r="66" spans="1:9">
      <c r="A66" s="5">
        <v>5</v>
      </c>
      <c r="B66" s="5" t="s">
        <v>142</v>
      </c>
      <c r="C66" s="5" t="s">
        <v>70</v>
      </c>
      <c r="D66" s="5" t="s">
        <v>71</v>
      </c>
      <c r="E66" s="5" t="s">
        <v>72</v>
      </c>
      <c r="F66" s="5">
        <v>0.344</v>
      </c>
      <c r="G66" s="5">
        <v>0.6889999999999999</v>
      </c>
      <c r="H66" s="5">
        <v>1.378</v>
      </c>
      <c r="I66" s="5" t="s">
        <v>73</v>
      </c>
    </row>
    <row r="67" spans="1:9">
      <c r="A67" s="5">
        <v>5</v>
      </c>
      <c r="B67" s="5" t="s">
        <v>142</v>
      </c>
      <c r="C67" s="5" t="s">
        <v>75</v>
      </c>
      <c r="D67" s="5" t="s">
        <v>76</v>
      </c>
      <c r="E67" s="5" t="s">
        <v>72</v>
      </c>
      <c r="F67" s="5">
        <v>0.46</v>
      </c>
      <c r="G67" s="5">
        <v>0.919</v>
      </c>
      <c r="H67" s="5">
        <v>1.838</v>
      </c>
      <c r="I67" s="5" t="s">
        <v>77</v>
      </c>
    </row>
    <row r="68" spans="1:9">
      <c r="A68" s="5">
        <v>5</v>
      </c>
      <c r="B68" s="5" t="s">
        <v>142</v>
      </c>
      <c r="C68" s="5" t="s">
        <v>79</v>
      </c>
      <c r="D68" s="5" t="s">
        <v>80</v>
      </c>
      <c r="E68" s="5" t="s">
        <v>72</v>
      </c>
      <c r="F68" s="5">
        <v>0.804</v>
      </c>
      <c r="G68" s="5">
        <v>1.608</v>
      </c>
      <c r="H68" s="5">
        <v>3.216</v>
      </c>
      <c r="I68" s="5" t="s">
        <v>81</v>
      </c>
    </row>
    <row r="69" spans="1:9">
      <c r="A69" s="5">
        <v>5</v>
      </c>
      <c r="B69" s="5" t="s">
        <v>142</v>
      </c>
      <c r="C69" s="5" t="s">
        <v>83</v>
      </c>
      <c r="D69" s="5" t="s">
        <v>84</v>
      </c>
      <c r="E69" s="5" t="s">
        <v>72</v>
      </c>
      <c r="F69" s="5">
        <v>0.804</v>
      </c>
      <c r="G69" s="5">
        <v>1.608</v>
      </c>
      <c r="H69" s="5">
        <v>3.216</v>
      </c>
      <c r="I69" s="5" t="s">
        <v>85</v>
      </c>
    </row>
    <row r="70" spans="1:9">
      <c r="A70" s="5">
        <v>5</v>
      </c>
      <c r="B70" s="5" t="s">
        <v>142</v>
      </c>
      <c r="C70" s="5" t="s">
        <v>87</v>
      </c>
      <c r="D70" s="5" t="s">
        <v>88</v>
      </c>
      <c r="E70" s="5" t="s">
        <v>72</v>
      </c>
      <c r="F70" s="5">
        <v>0.6899999999999999</v>
      </c>
      <c r="G70" s="5">
        <v>1.379</v>
      </c>
      <c r="H70" s="5">
        <v>2.758</v>
      </c>
      <c r="I70" s="5" t="s">
        <v>89</v>
      </c>
    </row>
    <row r="71" spans="1:9">
      <c r="A71" s="5">
        <v>5</v>
      </c>
      <c r="B71" s="5" t="s">
        <v>142</v>
      </c>
      <c r="C71" s="5" t="s">
        <v>91</v>
      </c>
      <c r="D71" s="5" t="s">
        <v>92</v>
      </c>
      <c r="E71" s="5" t="s">
        <v>72</v>
      </c>
      <c r="F71" s="5">
        <v>0.804</v>
      </c>
      <c r="G71" s="5">
        <v>1.608</v>
      </c>
      <c r="H71" s="5">
        <v>3.216</v>
      </c>
      <c r="I71" s="5" t="s">
        <v>93</v>
      </c>
    </row>
    <row r="72" spans="1:9">
      <c r="A72" s="5">
        <v>5</v>
      </c>
      <c r="B72" s="5" t="s">
        <v>142</v>
      </c>
      <c r="C72" s="5" t="s">
        <v>95</v>
      </c>
      <c r="D72" s="5" t="s">
        <v>96</v>
      </c>
      <c r="E72" s="5" t="s">
        <v>72</v>
      </c>
      <c r="F72" s="5">
        <v>0.575</v>
      </c>
      <c r="G72" s="5">
        <v>1.149</v>
      </c>
      <c r="H72" s="5">
        <v>2.298</v>
      </c>
      <c r="I72" s="5" t="s">
        <v>97</v>
      </c>
    </row>
    <row r="73" spans="1:9">
      <c r="A73" s="5">
        <v>5</v>
      </c>
      <c r="B73" s="5" t="s">
        <v>142</v>
      </c>
      <c r="C73" s="5" t="s">
        <v>99</v>
      </c>
      <c r="D73" s="5" t="s">
        <v>100</v>
      </c>
      <c r="E73" s="5" t="s">
        <v>72</v>
      </c>
      <c r="F73" s="5">
        <v>0.517</v>
      </c>
      <c r="G73" s="5">
        <v>1.034</v>
      </c>
      <c r="H73" s="5">
        <v>2.068</v>
      </c>
      <c r="I73" s="5" t="s">
        <v>101</v>
      </c>
    </row>
    <row r="74" spans="1:9">
      <c r="A74" s="5">
        <v>5</v>
      </c>
      <c r="B74" s="5" t="s">
        <v>142</v>
      </c>
      <c r="C74" s="5" t="s">
        <v>103</v>
      </c>
      <c r="D74" s="5" t="s">
        <v>104</v>
      </c>
      <c r="E74" s="5" t="s">
        <v>72</v>
      </c>
      <c r="F74" s="5">
        <v>0.575</v>
      </c>
      <c r="G74" s="5">
        <v>1.149</v>
      </c>
      <c r="H74" s="5">
        <v>2.298</v>
      </c>
      <c r="I74" s="5" t="s">
        <v>105</v>
      </c>
    </row>
    <row r="75" spans="1:9">
      <c r="A75" s="5">
        <v>5</v>
      </c>
      <c r="B75" s="5" t="s">
        <v>142</v>
      </c>
      <c r="C75" s="5" t="s">
        <v>107</v>
      </c>
      <c r="D75" s="5" t="s">
        <v>108</v>
      </c>
      <c r="E75" s="5" t="s">
        <v>72</v>
      </c>
      <c r="F75" s="5">
        <v>0.23</v>
      </c>
      <c r="G75" s="5">
        <v>0.46</v>
      </c>
      <c r="H75" s="5">
        <v>0.92</v>
      </c>
      <c r="I75" s="5" t="s">
        <v>109</v>
      </c>
    </row>
    <row r="76" spans="1:9">
      <c r="A76" s="5">
        <v>5</v>
      </c>
      <c r="B76" s="5" t="s">
        <v>142</v>
      </c>
      <c r="C76" s="5" t="s">
        <v>111</v>
      </c>
      <c r="D76" s="5" t="s">
        <v>112</v>
      </c>
      <c r="E76" s="5" t="s">
        <v>113</v>
      </c>
      <c r="F76" s="5">
        <v>0.402</v>
      </c>
      <c r="G76" s="5">
        <v>0.804</v>
      </c>
      <c r="H76" s="5">
        <v>1.608</v>
      </c>
      <c r="I76" s="5" t="s">
        <v>114</v>
      </c>
    </row>
    <row r="77" spans="1:9">
      <c r="A77" s="5">
        <v>5</v>
      </c>
      <c r="B77" s="5" t="s">
        <v>142</v>
      </c>
      <c r="C77" s="5" t="s">
        <v>116</v>
      </c>
      <c r="D77" s="5" t="s">
        <v>117</v>
      </c>
      <c r="E77" s="5" t="s">
        <v>113</v>
      </c>
      <c r="F77" s="5">
        <v>0.402</v>
      </c>
      <c r="G77" s="5">
        <v>0.804</v>
      </c>
      <c r="H77" s="5">
        <v>1.608</v>
      </c>
      <c r="I77" s="5" t="s">
        <v>118</v>
      </c>
    </row>
    <row r="78" spans="1:9">
      <c r="A78" s="5">
        <v>5</v>
      </c>
      <c r="B78" s="5" t="s">
        <v>142</v>
      </c>
      <c r="C78" s="5" t="s">
        <v>120</v>
      </c>
      <c r="D78" s="5" t="s">
        <v>121</v>
      </c>
      <c r="E78" s="5" t="s">
        <v>113</v>
      </c>
      <c r="F78" s="5">
        <v>0.172</v>
      </c>
      <c r="G78" s="5">
        <v>0.345</v>
      </c>
      <c r="H78" s="5">
        <v>0.6899999999999999</v>
      </c>
      <c r="I78" s="5" t="s">
        <v>122</v>
      </c>
    </row>
    <row r="79" spans="1:9">
      <c r="A79" s="5">
        <v>5</v>
      </c>
      <c r="B79" s="5" t="s">
        <v>142</v>
      </c>
      <c r="C79" s="5" t="s">
        <v>124</v>
      </c>
      <c r="D79" s="5" t="s">
        <v>125</v>
      </c>
      <c r="E79" s="5" t="s">
        <v>126</v>
      </c>
      <c r="F79" s="5">
        <v>0.344</v>
      </c>
      <c r="G79" s="5">
        <v>0.6889999999999999</v>
      </c>
      <c r="H79" s="5">
        <v>1.378</v>
      </c>
      <c r="I79" s="5" t="s">
        <v>127</v>
      </c>
    </row>
    <row r="80" spans="1:9">
      <c r="A80" s="5">
        <v>5</v>
      </c>
      <c r="B80" s="5" t="s">
        <v>142</v>
      </c>
      <c r="C80" s="5" t="s">
        <v>129</v>
      </c>
      <c r="D80" s="5" t="s">
        <v>130</v>
      </c>
      <c r="E80" s="5" t="s">
        <v>126</v>
      </c>
      <c r="F80" s="5">
        <v>0.172</v>
      </c>
      <c r="G80" s="5">
        <v>0.345</v>
      </c>
      <c r="H80" s="5">
        <v>0.6899999999999999</v>
      </c>
      <c r="I80" s="5" t="s">
        <v>131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6.7109375" customWidth="1"/>
    <col min="4" max="5" width="36.7109375" customWidth="1"/>
    <col min="6" max="6" width="42.7109375" customWidth="1"/>
    <col min="7" max="7" width="18.7109375" customWidth="1"/>
    <col min="8" max="8" width="42.7109375" customWidth="1"/>
    <col min="9" max="9" width="26.7109375" customWidth="1"/>
    <col min="10" max="10" width="12.7109375" style="10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5" spans="1:19">
      <c r="A5" s="7" t="s">
        <v>144</v>
      </c>
      <c r="B5" s="7" t="s">
        <v>145</v>
      </c>
      <c r="C5" s="7" t="s">
        <v>12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150</v>
      </c>
      <c r="I5" s="7" t="s">
        <v>151</v>
      </c>
      <c r="J5" s="7" t="s">
        <v>152</v>
      </c>
      <c r="K5" s="7" t="s">
        <v>153</v>
      </c>
      <c r="L5" s="7" t="s">
        <v>154</v>
      </c>
      <c r="M5" s="7" t="s">
        <v>155</v>
      </c>
      <c r="N5" s="7" t="s">
        <v>156</v>
      </c>
      <c r="O5" s="7" t="s">
        <v>157</v>
      </c>
      <c r="P5" s="7" t="s">
        <v>158</v>
      </c>
      <c r="Q5" s="7" t="s">
        <v>159</v>
      </c>
      <c r="R5" s="7" t="s">
        <v>160</v>
      </c>
      <c r="S5" s="7" t="s">
        <v>161</v>
      </c>
    </row>
    <row r="6" spans="1:19">
      <c r="A6" s="5" t="s">
        <v>162</v>
      </c>
      <c r="B6" s="5" t="s">
        <v>163</v>
      </c>
      <c r="C6" s="5" t="s">
        <v>164</v>
      </c>
      <c r="D6" s="5" t="s">
        <v>165</v>
      </c>
      <c r="E6" s="5" t="s">
        <v>166</v>
      </c>
      <c r="F6" s="5" t="s">
        <v>167</v>
      </c>
      <c r="G6" s="5" t="s">
        <v>168</v>
      </c>
      <c r="H6" s="5" t="s">
        <v>169</v>
      </c>
      <c r="I6" s="5" t="s">
        <v>170</v>
      </c>
      <c r="J6" s="5">
        <v>0.49</v>
      </c>
      <c r="K6" s="5">
        <v>0.114</v>
      </c>
      <c r="L6" s="5">
        <v>0.253</v>
      </c>
      <c r="M6" s="5">
        <v>0.544</v>
      </c>
      <c r="N6" s="5">
        <v>8.1</v>
      </c>
      <c r="O6" s="5">
        <v>18</v>
      </c>
      <c r="P6" s="5">
        <v>40.5</v>
      </c>
      <c r="Q6" s="5">
        <v>0.153</v>
      </c>
      <c r="R6" s="5">
        <v>11.2</v>
      </c>
      <c r="S6" s="5" t="s">
        <v>171</v>
      </c>
    </row>
    <row r="7" spans="1:19">
      <c r="A7" s="5" t="s">
        <v>172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179</v>
      </c>
      <c r="I7" s="5" t="s">
        <v>180</v>
      </c>
      <c r="J7" s="5">
        <v>0.44</v>
      </c>
      <c r="K7" s="5">
        <v>0.135</v>
      </c>
      <c r="L7" s="5">
        <v>0.299</v>
      </c>
      <c r="M7" s="5">
        <v>0.643</v>
      </c>
      <c r="N7" s="5">
        <v>9.9</v>
      </c>
      <c r="O7" s="5">
        <v>22</v>
      </c>
      <c r="P7" s="5">
        <v>49.5</v>
      </c>
      <c r="Q7" s="5">
        <v>0.163</v>
      </c>
      <c r="R7" s="5">
        <v>12.2</v>
      </c>
      <c r="S7" s="5" t="s">
        <v>171</v>
      </c>
    </row>
    <row r="8" spans="1:19">
      <c r="A8" s="5" t="s">
        <v>181</v>
      </c>
      <c r="B8" s="5" t="s">
        <v>182</v>
      </c>
      <c r="C8" s="5" t="s">
        <v>183</v>
      </c>
      <c r="D8" s="5" t="s">
        <v>184</v>
      </c>
      <c r="E8" s="5" t="s">
        <v>185</v>
      </c>
      <c r="F8" s="5" t="s">
        <v>186</v>
      </c>
      <c r="G8" s="5" t="s">
        <v>187</v>
      </c>
      <c r="H8" s="5" t="s">
        <v>188</v>
      </c>
      <c r="I8" s="5" t="s">
        <v>189</v>
      </c>
      <c r="J8" s="5">
        <v>0.49</v>
      </c>
      <c r="K8" s="5">
        <v>0.062</v>
      </c>
      <c r="L8" s="5">
        <v>0.138</v>
      </c>
      <c r="M8" s="5">
        <v>0.31</v>
      </c>
      <c r="N8" s="5">
        <v>16.8</v>
      </c>
      <c r="O8" s="5">
        <v>42</v>
      </c>
      <c r="P8" s="5">
        <v>96.59999999999999</v>
      </c>
      <c r="Q8" s="5">
        <v>0.08500000000000001</v>
      </c>
      <c r="R8" s="5">
        <v>26.1</v>
      </c>
      <c r="S8" s="5" t="s">
        <v>171</v>
      </c>
    </row>
    <row r="9" spans="1:19">
      <c r="A9" s="5" t="s">
        <v>190</v>
      </c>
      <c r="B9" s="5" t="s">
        <v>182</v>
      </c>
      <c r="C9" s="5" t="s">
        <v>191</v>
      </c>
      <c r="D9" s="5" t="s">
        <v>192</v>
      </c>
      <c r="E9" s="5" t="s">
        <v>193</v>
      </c>
      <c r="F9" s="5" t="s">
        <v>194</v>
      </c>
      <c r="G9" s="5" t="s">
        <v>195</v>
      </c>
      <c r="H9" s="5" t="s">
        <v>196</v>
      </c>
      <c r="I9" s="5" t="s">
        <v>197</v>
      </c>
      <c r="J9" s="5">
        <v>0.44</v>
      </c>
      <c r="K9" s="5">
        <v>0.093</v>
      </c>
      <c r="L9" s="5">
        <v>0.207</v>
      </c>
      <c r="M9" s="5">
        <v>0.466</v>
      </c>
      <c r="N9" s="5">
        <v>14.8</v>
      </c>
      <c r="O9" s="5">
        <v>37</v>
      </c>
      <c r="P9" s="5">
        <v>85.09999999999999</v>
      </c>
      <c r="Q9" s="5">
        <v>0.115</v>
      </c>
      <c r="R9" s="5">
        <v>20.7</v>
      </c>
      <c r="S9" s="5" t="s">
        <v>171</v>
      </c>
    </row>
    <row r="10" spans="1:19">
      <c r="A10" s="5" t="s">
        <v>198</v>
      </c>
      <c r="B10" s="5" t="s">
        <v>199</v>
      </c>
      <c r="C10" s="5" t="s">
        <v>200</v>
      </c>
      <c r="D10" s="5" t="s">
        <v>201</v>
      </c>
      <c r="E10" s="5" t="s">
        <v>202</v>
      </c>
      <c r="F10" s="5" t="s">
        <v>203</v>
      </c>
      <c r="G10" s="5" t="s">
        <v>204</v>
      </c>
      <c r="H10" s="5" t="s">
        <v>205</v>
      </c>
      <c r="I10" s="5" t="s">
        <v>206</v>
      </c>
      <c r="J10" s="5">
        <v>0.49</v>
      </c>
      <c r="K10" s="5">
        <v>0.093</v>
      </c>
      <c r="L10" s="5">
        <v>0.207</v>
      </c>
      <c r="M10" s="5">
        <v>0.445</v>
      </c>
      <c r="N10" s="5">
        <v>6.3</v>
      </c>
      <c r="O10" s="5">
        <v>14</v>
      </c>
      <c r="P10" s="5">
        <v>31.5</v>
      </c>
      <c r="Q10" s="5">
        <v>0.125</v>
      </c>
      <c r="R10" s="5">
        <v>8.699999999999999</v>
      </c>
      <c r="S10" s="5" t="s">
        <v>171</v>
      </c>
    </row>
    <row r="11" spans="1:19">
      <c r="A11" s="5" t="s">
        <v>207</v>
      </c>
      <c r="B11" s="5" t="s">
        <v>208</v>
      </c>
      <c r="C11" s="5" t="s">
        <v>209</v>
      </c>
      <c r="D11" s="5" t="s">
        <v>210</v>
      </c>
      <c r="E11" s="5" t="s">
        <v>211</v>
      </c>
      <c r="F11" s="5" t="s">
        <v>212</v>
      </c>
      <c r="G11" s="5" t="s">
        <v>213</v>
      </c>
      <c r="H11" s="5" t="s">
        <v>214</v>
      </c>
      <c r="I11" s="5" t="s">
        <v>215</v>
      </c>
      <c r="J11" s="5">
        <v>0.4</v>
      </c>
      <c r="K11" s="5">
        <v>0.114</v>
      </c>
      <c r="L11" s="5">
        <v>0.253</v>
      </c>
      <c r="M11" s="5">
        <v>0.544</v>
      </c>
      <c r="N11" s="5">
        <v>17.1</v>
      </c>
      <c r="O11" s="5">
        <v>38</v>
      </c>
      <c r="P11" s="5">
        <v>85.5</v>
      </c>
      <c r="Q11" s="5">
        <v>0.125</v>
      </c>
      <c r="R11" s="5">
        <v>19.2</v>
      </c>
      <c r="S11" s="5" t="s">
        <v>171</v>
      </c>
    </row>
    <row r="12" spans="1:19">
      <c r="A12" s="5" t="s">
        <v>216</v>
      </c>
      <c r="B12" s="5" t="s">
        <v>217</v>
      </c>
      <c r="C12" s="5" t="s">
        <v>218</v>
      </c>
      <c r="D12" s="5" t="s">
        <v>219</v>
      </c>
      <c r="E12" s="5" t="s">
        <v>220</v>
      </c>
      <c r="F12" s="5" t="s">
        <v>221</v>
      </c>
      <c r="G12" s="5" t="s">
        <v>222</v>
      </c>
      <c r="H12" s="5" t="s">
        <v>223</v>
      </c>
      <c r="I12" s="5" t="s">
        <v>224</v>
      </c>
      <c r="J12" s="5">
        <v>0.47</v>
      </c>
      <c r="K12" s="5">
        <v>0.07199999999999999</v>
      </c>
      <c r="L12" s="5">
        <v>0.161</v>
      </c>
      <c r="M12" s="5">
        <v>0.346</v>
      </c>
      <c r="N12" s="5">
        <v>13.5</v>
      </c>
      <c r="O12" s="5">
        <v>30</v>
      </c>
      <c r="P12" s="5">
        <v>67.5</v>
      </c>
      <c r="Q12" s="5">
        <v>0.093</v>
      </c>
      <c r="R12" s="5">
        <v>17.8</v>
      </c>
      <c r="S12" s="5" t="s">
        <v>171</v>
      </c>
    </row>
    <row r="13" spans="1:19">
      <c r="A13" s="5" t="s">
        <v>225</v>
      </c>
      <c r="B13" s="5" t="s">
        <v>226</v>
      </c>
      <c r="C13" s="5" t="s">
        <v>227</v>
      </c>
      <c r="D13" s="5" t="s">
        <v>228</v>
      </c>
      <c r="E13" s="5" t="s">
        <v>229</v>
      </c>
      <c r="F13" s="5" t="s">
        <v>230</v>
      </c>
      <c r="G13" s="5" t="s">
        <v>231</v>
      </c>
      <c r="H13" s="5" t="s">
        <v>232</v>
      </c>
      <c r="I13" s="5" t="s">
        <v>233</v>
      </c>
      <c r="J13" s="5">
        <v>0.53</v>
      </c>
      <c r="K13" s="5">
        <v>0.07199999999999999</v>
      </c>
      <c r="L13" s="5">
        <v>0.161</v>
      </c>
      <c r="M13" s="5">
        <v>0.346</v>
      </c>
      <c r="N13" s="5">
        <v>4.5</v>
      </c>
      <c r="O13" s="5">
        <v>10</v>
      </c>
      <c r="P13" s="5">
        <v>22.5</v>
      </c>
      <c r="Q13" s="5">
        <v>0.105</v>
      </c>
      <c r="R13" s="5">
        <v>6.7</v>
      </c>
      <c r="S13" s="5" t="s">
        <v>171</v>
      </c>
    </row>
    <row r="14" spans="1:19">
      <c r="A14" s="5" t="s">
        <v>234</v>
      </c>
      <c r="B14" s="5" t="s">
        <v>235</v>
      </c>
      <c r="C14" s="5" t="s">
        <v>236</v>
      </c>
      <c r="D14" s="5" t="s">
        <v>237</v>
      </c>
      <c r="E14" s="5" t="s">
        <v>238</v>
      </c>
      <c r="F14" s="5" t="s">
        <v>239</v>
      </c>
      <c r="G14" s="5" t="s">
        <v>240</v>
      </c>
      <c r="H14" s="5" t="s">
        <v>241</v>
      </c>
      <c r="I14" s="5" t="s">
        <v>242</v>
      </c>
      <c r="J14" s="5">
        <v>0.4</v>
      </c>
      <c r="K14" s="5">
        <v>0.093</v>
      </c>
      <c r="L14" s="5">
        <v>0.207</v>
      </c>
      <c r="M14" s="5">
        <v>0.445</v>
      </c>
      <c r="N14" s="5">
        <v>15.3</v>
      </c>
      <c r="O14" s="5">
        <v>34</v>
      </c>
      <c r="P14" s="5">
        <v>76.5</v>
      </c>
      <c r="Q14" s="5">
        <v>0.102</v>
      </c>
      <c r="R14" s="5">
        <v>17.2</v>
      </c>
      <c r="S14" s="5" t="s">
        <v>171</v>
      </c>
    </row>
    <row r="15" spans="1:19">
      <c r="A15" s="5" t="s">
        <v>243</v>
      </c>
      <c r="B15" s="5" t="s">
        <v>182</v>
      </c>
      <c r="C15" s="5" t="s">
        <v>244</v>
      </c>
      <c r="D15" s="5" t="s">
        <v>245</v>
      </c>
      <c r="E15" s="5" t="s">
        <v>246</v>
      </c>
      <c r="F15" s="5" t="s">
        <v>247</v>
      </c>
      <c r="G15" s="5" t="s">
        <v>231</v>
      </c>
      <c r="H15" s="5" t="s">
        <v>248</v>
      </c>
      <c r="I15" s="5" t="s">
        <v>249</v>
      </c>
      <c r="J15" s="5">
        <v>0.49</v>
      </c>
      <c r="K15" s="5">
        <v>0.031</v>
      </c>
      <c r="L15" s="5">
        <v>0.06900000000000001</v>
      </c>
      <c r="M15" s="5">
        <v>0.155</v>
      </c>
      <c r="N15" s="5">
        <v>16.8</v>
      </c>
      <c r="O15" s="5">
        <v>42</v>
      </c>
      <c r="P15" s="5">
        <v>96.59999999999999</v>
      </c>
      <c r="Q15" s="5">
        <v>0.043</v>
      </c>
      <c r="R15" s="5">
        <v>26.1</v>
      </c>
      <c r="S15" s="5" t="s">
        <v>171</v>
      </c>
    </row>
    <row r="16" spans="1:19">
      <c r="A16" s="5" t="s">
        <v>250</v>
      </c>
      <c r="B16" s="5" t="s">
        <v>251</v>
      </c>
      <c r="C16" s="5" t="s">
        <v>252</v>
      </c>
      <c r="D16" s="5" t="s">
        <v>253</v>
      </c>
      <c r="E16" s="5" t="s">
        <v>254</v>
      </c>
      <c r="F16" s="5" t="s">
        <v>255</v>
      </c>
      <c r="G16" s="5" t="s">
        <v>256</v>
      </c>
      <c r="H16" s="5" t="s">
        <v>257</v>
      </c>
      <c r="I16" s="5" t="s">
        <v>258</v>
      </c>
      <c r="J16" s="5">
        <v>0.37</v>
      </c>
      <c r="K16" s="5">
        <v>0.135</v>
      </c>
      <c r="L16" s="5">
        <v>0.299</v>
      </c>
      <c r="M16" s="5">
        <v>0.643</v>
      </c>
      <c r="N16" s="5">
        <v>2.7</v>
      </c>
      <c r="O16" s="5">
        <v>6</v>
      </c>
      <c r="P16" s="5">
        <v>13.5</v>
      </c>
      <c r="Q16" s="5">
        <v>0.137</v>
      </c>
      <c r="R16" s="5">
        <v>2.8</v>
      </c>
      <c r="S16" s="5" t="s">
        <v>171</v>
      </c>
    </row>
    <row r="17" spans="1:19">
      <c r="A17" s="5" t="s">
        <v>259</v>
      </c>
      <c r="B17" s="5" t="s">
        <v>182</v>
      </c>
      <c r="C17" s="5" t="s">
        <v>260</v>
      </c>
      <c r="D17" s="5" t="s">
        <v>261</v>
      </c>
      <c r="E17" s="5" t="s">
        <v>262</v>
      </c>
      <c r="F17" s="5" t="s">
        <v>263</v>
      </c>
      <c r="G17" s="5" t="s">
        <v>168</v>
      </c>
      <c r="H17" s="5" t="s">
        <v>264</v>
      </c>
      <c r="I17" s="5" t="s">
        <v>265</v>
      </c>
      <c r="J17" s="5">
        <v>0.44</v>
      </c>
      <c r="K17" s="5">
        <v>0.047</v>
      </c>
      <c r="L17" s="5">
        <v>0.104</v>
      </c>
      <c r="M17" s="5">
        <v>0.233</v>
      </c>
      <c r="N17" s="5">
        <v>14.8</v>
      </c>
      <c r="O17" s="5">
        <v>37</v>
      </c>
      <c r="P17" s="5">
        <v>85.09999999999999</v>
      </c>
      <c r="Q17" s="5">
        <v>0.058</v>
      </c>
      <c r="R17" s="5">
        <v>20.7</v>
      </c>
      <c r="S17" s="5" t="s">
        <v>171</v>
      </c>
    </row>
    <row r="18" spans="1:19">
      <c r="A18" s="5" t="s">
        <v>266</v>
      </c>
      <c r="B18" s="5" t="s">
        <v>182</v>
      </c>
      <c r="C18" s="5" t="s">
        <v>267</v>
      </c>
      <c r="D18" s="5" t="s">
        <v>268</v>
      </c>
      <c r="E18" s="5" t="s">
        <v>269</v>
      </c>
      <c r="F18" s="5" t="s">
        <v>270</v>
      </c>
      <c r="G18" s="5" t="s">
        <v>271</v>
      </c>
      <c r="H18" s="5" t="s">
        <v>272</v>
      </c>
      <c r="I18" s="5" t="s">
        <v>273</v>
      </c>
      <c r="J18" s="5">
        <v>0.39</v>
      </c>
      <c r="K18" s="5">
        <v>0.078</v>
      </c>
      <c r="L18" s="5">
        <v>0.173</v>
      </c>
      <c r="M18" s="5">
        <v>0.388</v>
      </c>
      <c r="N18" s="5">
        <v>12.8</v>
      </c>
      <c r="O18" s="5">
        <v>32</v>
      </c>
      <c r="P18" s="5">
        <v>73.59999999999999</v>
      </c>
      <c r="Q18" s="5">
        <v>0.08500000000000001</v>
      </c>
      <c r="R18" s="5">
        <v>15.8</v>
      </c>
      <c r="S18" s="5" t="s">
        <v>171</v>
      </c>
    </row>
    <row r="19" spans="1:19">
      <c r="A19" s="5" t="s">
        <v>274</v>
      </c>
      <c r="B19" s="5" t="s">
        <v>182</v>
      </c>
      <c r="C19" s="5" t="s">
        <v>275</v>
      </c>
      <c r="D19" s="5" t="s">
        <v>276</v>
      </c>
      <c r="E19" s="5" t="s">
        <v>277</v>
      </c>
      <c r="F19" s="5" t="s">
        <v>278</v>
      </c>
      <c r="G19" s="5" t="s">
        <v>240</v>
      </c>
      <c r="H19" s="5" t="s">
        <v>279</v>
      </c>
      <c r="I19" s="5" t="s">
        <v>280</v>
      </c>
      <c r="J19" s="5">
        <v>0.34</v>
      </c>
      <c r="K19" s="5">
        <v>0.093</v>
      </c>
      <c r="L19" s="5">
        <v>0.207</v>
      </c>
      <c r="M19" s="5">
        <v>0.466</v>
      </c>
      <c r="N19" s="5">
        <v>10.8</v>
      </c>
      <c r="O19" s="5">
        <v>27</v>
      </c>
      <c r="P19" s="5">
        <v>62.1</v>
      </c>
      <c r="Q19" s="5">
        <v>0.089</v>
      </c>
      <c r="R19" s="5">
        <v>11.7</v>
      </c>
      <c r="S19" s="5" t="s">
        <v>171</v>
      </c>
    </row>
    <row r="20" spans="1:19">
      <c r="A20" s="5" t="s">
        <v>281</v>
      </c>
      <c r="B20" s="5" t="s">
        <v>282</v>
      </c>
      <c r="C20" s="5" t="s">
        <v>283</v>
      </c>
      <c r="D20" s="5" t="s">
        <v>284</v>
      </c>
      <c r="E20" s="5" t="s">
        <v>285</v>
      </c>
      <c r="F20" s="5" t="s">
        <v>286</v>
      </c>
      <c r="G20" s="5" t="s">
        <v>287</v>
      </c>
      <c r="H20" s="5" t="s">
        <v>288</v>
      </c>
      <c r="I20" s="5" t="s">
        <v>289</v>
      </c>
      <c r="J20" s="5">
        <v>0.41</v>
      </c>
      <c r="K20" s="5">
        <v>0.052</v>
      </c>
      <c r="L20" s="5">
        <v>0.115</v>
      </c>
      <c r="M20" s="5">
        <v>0.247</v>
      </c>
      <c r="N20" s="5">
        <v>11.7</v>
      </c>
      <c r="O20" s="5">
        <v>26</v>
      </c>
      <c r="P20" s="5">
        <v>58.5</v>
      </c>
      <c r="Q20" s="5">
        <v>0.058</v>
      </c>
      <c r="R20" s="5">
        <v>13.5</v>
      </c>
      <c r="S20" s="5" t="s">
        <v>171</v>
      </c>
    </row>
    <row r="21" spans="1:19">
      <c r="A21" s="5" t="s">
        <v>290</v>
      </c>
      <c r="B21" s="5" t="s">
        <v>182</v>
      </c>
      <c r="C21" s="5" t="s">
        <v>291</v>
      </c>
      <c r="D21" s="5" t="s">
        <v>292</v>
      </c>
      <c r="E21" s="5" t="s">
        <v>293</v>
      </c>
      <c r="F21" s="5" t="s">
        <v>294</v>
      </c>
      <c r="G21" s="5" t="s">
        <v>178</v>
      </c>
      <c r="H21" s="5" t="s">
        <v>295</v>
      </c>
      <c r="I21" s="5" t="s">
        <v>296</v>
      </c>
      <c r="J21" s="5">
        <v>0.34</v>
      </c>
      <c r="K21" s="5">
        <v>0.062</v>
      </c>
      <c r="L21" s="5">
        <v>0.138</v>
      </c>
      <c r="M21" s="5">
        <v>0.31</v>
      </c>
      <c r="N21" s="5">
        <v>10.8</v>
      </c>
      <c r="O21" s="5">
        <v>27</v>
      </c>
      <c r="P21" s="5">
        <v>62.1</v>
      </c>
      <c r="Q21" s="5">
        <v>0.059</v>
      </c>
      <c r="R21" s="5">
        <v>11.7</v>
      </c>
      <c r="S21" s="5" t="s">
        <v>171</v>
      </c>
    </row>
    <row r="22" spans="1:19">
      <c r="A22" s="5" t="s">
        <v>297</v>
      </c>
      <c r="B22" s="5" t="s">
        <v>182</v>
      </c>
      <c r="C22" s="5" t="s">
        <v>298</v>
      </c>
      <c r="D22" s="5" t="s">
        <v>299</v>
      </c>
      <c r="E22" s="5" t="s">
        <v>300</v>
      </c>
      <c r="F22" s="5" t="s">
        <v>301</v>
      </c>
      <c r="G22" s="5" t="s">
        <v>302</v>
      </c>
      <c r="H22" s="5" t="s">
        <v>303</v>
      </c>
      <c r="I22" s="5" t="s">
        <v>304</v>
      </c>
      <c r="J22" s="5">
        <v>0.39</v>
      </c>
      <c r="K22" s="5">
        <v>0.031</v>
      </c>
      <c r="L22" s="5">
        <v>0.06900000000000001</v>
      </c>
      <c r="M22" s="5">
        <v>0.155</v>
      </c>
      <c r="N22" s="5">
        <v>12.8</v>
      </c>
      <c r="O22" s="5">
        <v>32</v>
      </c>
      <c r="P22" s="5">
        <v>73.59999999999999</v>
      </c>
      <c r="Q22" s="5">
        <v>0.034</v>
      </c>
      <c r="R22" s="5">
        <v>15.8</v>
      </c>
      <c r="S22" s="5" t="s">
        <v>171</v>
      </c>
    </row>
    <row r="23" spans="1:19">
      <c r="A23" s="5" t="s">
        <v>305</v>
      </c>
      <c r="B23" s="5" t="s">
        <v>306</v>
      </c>
      <c r="C23" s="5" t="s">
        <v>307</v>
      </c>
      <c r="D23" s="5" t="s">
        <v>308</v>
      </c>
      <c r="E23" s="5" t="s">
        <v>309</v>
      </c>
      <c r="F23" s="5" t="s">
        <v>310</v>
      </c>
      <c r="G23" s="5" t="s">
        <v>195</v>
      </c>
      <c r="H23" s="5" t="s">
        <v>311</v>
      </c>
      <c r="I23" s="5" t="s">
        <v>312</v>
      </c>
      <c r="J23" s="5">
        <v>0.41</v>
      </c>
      <c r="K23" s="5">
        <v>0.052</v>
      </c>
      <c r="L23" s="5">
        <v>0.115</v>
      </c>
      <c r="M23" s="5">
        <v>0.247</v>
      </c>
      <c r="N23" s="5">
        <v>4.5</v>
      </c>
      <c r="O23" s="5">
        <v>10</v>
      </c>
      <c r="P23" s="5">
        <v>22.5</v>
      </c>
      <c r="Q23" s="5">
        <v>0.058</v>
      </c>
      <c r="R23" s="5">
        <v>5.2</v>
      </c>
      <c r="S23" s="5" t="s">
        <v>171</v>
      </c>
    </row>
    <row r="24" spans="1:19">
      <c r="A24" s="5" t="s">
        <v>313</v>
      </c>
      <c r="B24" s="5" t="s">
        <v>182</v>
      </c>
      <c r="C24" s="5" t="s">
        <v>314</v>
      </c>
      <c r="D24" s="5" t="s">
        <v>315</v>
      </c>
      <c r="E24" s="5" t="s">
        <v>316</v>
      </c>
      <c r="F24" s="5" t="s">
        <v>317</v>
      </c>
      <c r="G24" s="5" t="s">
        <v>318</v>
      </c>
      <c r="H24" s="5" t="s">
        <v>319</v>
      </c>
      <c r="I24" s="5" t="s">
        <v>320</v>
      </c>
      <c r="J24" s="5">
        <v>0.29</v>
      </c>
      <c r="K24" s="5">
        <v>0.078</v>
      </c>
      <c r="L24" s="5">
        <v>0.173</v>
      </c>
      <c r="M24" s="5">
        <v>0.388</v>
      </c>
      <c r="N24" s="5">
        <v>8.800000000000001</v>
      </c>
      <c r="O24" s="5">
        <v>22</v>
      </c>
      <c r="P24" s="5">
        <v>50.6</v>
      </c>
      <c r="Q24" s="5">
        <v>0.063</v>
      </c>
      <c r="R24" s="5">
        <v>8.1</v>
      </c>
      <c r="S24" s="5" t="s">
        <v>171</v>
      </c>
    </row>
    <row r="25" spans="1:19">
      <c r="A25" s="5" t="s">
        <v>321</v>
      </c>
      <c r="B25" s="5" t="s">
        <v>182</v>
      </c>
      <c r="C25" s="5" t="s">
        <v>322</v>
      </c>
      <c r="D25" s="5" t="s">
        <v>323</v>
      </c>
      <c r="E25" s="5" t="s">
        <v>324</v>
      </c>
      <c r="F25" s="5" t="s">
        <v>325</v>
      </c>
      <c r="G25" s="5" t="s">
        <v>222</v>
      </c>
      <c r="H25" s="5" t="s">
        <v>326</v>
      </c>
      <c r="I25" s="5" t="s">
        <v>327</v>
      </c>
      <c r="J25" s="5">
        <v>0.29</v>
      </c>
      <c r="K25" s="5">
        <v>0.047</v>
      </c>
      <c r="L25" s="5">
        <v>0.104</v>
      </c>
      <c r="M25" s="5">
        <v>0.233</v>
      </c>
      <c r="N25" s="5">
        <v>8.800000000000001</v>
      </c>
      <c r="O25" s="5">
        <v>22</v>
      </c>
      <c r="P25" s="5">
        <v>50.6</v>
      </c>
      <c r="Q25" s="5">
        <v>0.038</v>
      </c>
      <c r="R25" s="5">
        <v>8.1</v>
      </c>
      <c r="S25" s="5" t="s">
        <v>171</v>
      </c>
    </row>
    <row r="26" spans="1:19">
      <c r="A26" s="5" t="s">
        <v>328</v>
      </c>
      <c r="B26" s="5" t="s">
        <v>182</v>
      </c>
      <c r="C26" s="5" t="s">
        <v>329</v>
      </c>
      <c r="D26" s="5" t="s">
        <v>330</v>
      </c>
      <c r="E26" s="5" t="s">
        <v>331</v>
      </c>
      <c r="F26" s="5" t="s">
        <v>332</v>
      </c>
      <c r="G26" s="5" t="s">
        <v>287</v>
      </c>
      <c r="H26" s="5" t="s">
        <v>333</v>
      </c>
      <c r="I26" s="5" t="s">
        <v>334</v>
      </c>
      <c r="J26" s="5">
        <v>0.24</v>
      </c>
      <c r="K26" s="5">
        <v>0.062</v>
      </c>
      <c r="L26" s="5">
        <v>0.138</v>
      </c>
      <c r="M26" s="5">
        <v>0.31</v>
      </c>
      <c r="N26" s="5">
        <v>6.8</v>
      </c>
      <c r="O26" s="5">
        <v>17</v>
      </c>
      <c r="P26" s="5">
        <v>39.1</v>
      </c>
      <c r="Q26" s="5">
        <v>0.042</v>
      </c>
      <c r="R26" s="5">
        <v>5.2</v>
      </c>
      <c r="S26" s="5" t="s">
        <v>171</v>
      </c>
    </row>
    <row r="27" spans="1:19">
      <c r="A27" s="5" t="s">
        <v>335</v>
      </c>
      <c r="B27" s="5" t="s">
        <v>182</v>
      </c>
      <c r="C27" s="5" t="s">
        <v>336</v>
      </c>
      <c r="D27" s="5" t="s">
        <v>337</v>
      </c>
      <c r="E27" s="5" t="s">
        <v>338</v>
      </c>
      <c r="F27" s="5" t="s">
        <v>339</v>
      </c>
      <c r="G27" s="5" t="s">
        <v>340</v>
      </c>
      <c r="H27" s="5" t="s">
        <v>341</v>
      </c>
      <c r="I27" s="5" t="s">
        <v>342</v>
      </c>
      <c r="J27" s="5">
        <v>0.19</v>
      </c>
      <c r="K27" s="5">
        <v>0.093</v>
      </c>
      <c r="L27" s="5">
        <v>0.207</v>
      </c>
      <c r="M27" s="5">
        <v>0.466</v>
      </c>
      <c r="N27" s="5">
        <v>4.8</v>
      </c>
      <c r="O27" s="5">
        <v>12</v>
      </c>
      <c r="P27" s="5">
        <v>27.6</v>
      </c>
      <c r="Q27" s="5">
        <v>0.05</v>
      </c>
      <c r="R27" s="5">
        <v>2.9</v>
      </c>
      <c r="S27" s="5" t="s">
        <v>171</v>
      </c>
    </row>
    <row r="28" spans="1:19">
      <c r="A28" s="5" t="s">
        <v>343</v>
      </c>
      <c r="B28" s="5" t="s">
        <v>182</v>
      </c>
      <c r="C28" s="5" t="s">
        <v>344</v>
      </c>
      <c r="D28" s="5" t="s">
        <v>345</v>
      </c>
      <c r="E28" s="5" t="s">
        <v>346</v>
      </c>
      <c r="F28" s="5" t="s">
        <v>347</v>
      </c>
      <c r="G28" s="5" t="s">
        <v>213</v>
      </c>
      <c r="H28" s="5" t="s">
        <v>348</v>
      </c>
      <c r="I28" s="5" t="s">
        <v>215</v>
      </c>
      <c r="J28" s="5">
        <v>0.24</v>
      </c>
      <c r="K28" s="5">
        <v>0.031</v>
      </c>
      <c r="L28" s="5">
        <v>0.06900000000000001</v>
      </c>
      <c r="M28" s="5">
        <v>0.155</v>
      </c>
      <c r="N28" s="5">
        <v>6.8</v>
      </c>
      <c r="O28" s="5">
        <v>17</v>
      </c>
      <c r="P28" s="5">
        <v>39.1</v>
      </c>
      <c r="Q28" s="5">
        <v>0.021</v>
      </c>
      <c r="R28" s="5">
        <v>5.2</v>
      </c>
      <c r="S28" s="5" t="s">
        <v>171</v>
      </c>
    </row>
    <row r="29" spans="1:19">
      <c r="A29" s="5" t="s">
        <v>349</v>
      </c>
      <c r="B29" s="5" t="s">
        <v>182</v>
      </c>
      <c r="C29" s="5" t="s">
        <v>350</v>
      </c>
      <c r="D29" s="5" t="s">
        <v>351</v>
      </c>
      <c r="E29" s="5" t="s">
        <v>352</v>
      </c>
      <c r="F29" s="5" t="s">
        <v>353</v>
      </c>
      <c r="G29" s="5" t="s">
        <v>187</v>
      </c>
      <c r="H29" s="5" t="s">
        <v>354</v>
      </c>
      <c r="I29" s="5" t="s">
        <v>355</v>
      </c>
      <c r="J29" s="5">
        <v>0.19</v>
      </c>
      <c r="K29" s="5">
        <v>0.062</v>
      </c>
      <c r="L29" s="5">
        <v>0.138</v>
      </c>
      <c r="M29" s="5">
        <v>0.31</v>
      </c>
      <c r="N29" s="5">
        <v>4.8</v>
      </c>
      <c r="O29" s="5">
        <v>12</v>
      </c>
      <c r="P29" s="5">
        <v>27.6</v>
      </c>
      <c r="Q29" s="5">
        <v>0.033</v>
      </c>
      <c r="R29" s="5">
        <v>2.9</v>
      </c>
      <c r="S29" s="5" t="s">
        <v>171</v>
      </c>
    </row>
    <row r="30" spans="1:19">
      <c r="A30" s="5" t="s">
        <v>356</v>
      </c>
      <c r="B30" s="5" t="s">
        <v>182</v>
      </c>
      <c r="C30" s="5" t="s">
        <v>357</v>
      </c>
      <c r="D30" s="5" t="s">
        <v>358</v>
      </c>
      <c r="E30" s="5" t="s">
        <v>359</v>
      </c>
      <c r="F30" s="5" t="s">
        <v>360</v>
      </c>
      <c r="G30" s="5" t="s">
        <v>231</v>
      </c>
      <c r="H30" s="5" t="s">
        <v>361</v>
      </c>
      <c r="I30" s="5" t="s">
        <v>362</v>
      </c>
      <c r="J30" s="5">
        <v>0.19</v>
      </c>
      <c r="K30" s="5">
        <v>0.047</v>
      </c>
      <c r="L30" s="5">
        <v>0.104</v>
      </c>
      <c r="M30" s="5">
        <v>0.233</v>
      </c>
      <c r="N30" s="5">
        <v>4.8</v>
      </c>
      <c r="O30" s="5">
        <v>12</v>
      </c>
      <c r="P30" s="5">
        <v>27.6</v>
      </c>
      <c r="Q30" s="5">
        <v>0.025</v>
      </c>
      <c r="R30" s="5">
        <v>2.9</v>
      </c>
      <c r="S30" s="5" t="s">
        <v>171</v>
      </c>
    </row>
    <row r="31" spans="1:19">
      <c r="A31" s="5" t="s">
        <v>363</v>
      </c>
      <c r="B31" s="5" t="s">
        <v>182</v>
      </c>
      <c r="C31" s="5" t="s">
        <v>364</v>
      </c>
      <c r="D31" s="5" t="s">
        <v>365</v>
      </c>
      <c r="E31" s="5" t="s">
        <v>366</v>
      </c>
      <c r="F31" s="5" t="s">
        <v>367</v>
      </c>
      <c r="G31" s="5" t="s">
        <v>256</v>
      </c>
      <c r="H31" s="5" t="s">
        <v>368</v>
      </c>
      <c r="I31" s="5" t="s">
        <v>369</v>
      </c>
      <c r="J31" s="5">
        <v>0.14</v>
      </c>
      <c r="K31" s="5">
        <v>0.078</v>
      </c>
      <c r="L31" s="5">
        <v>0.173</v>
      </c>
      <c r="M31" s="5">
        <v>0.388</v>
      </c>
      <c r="N31" s="5">
        <v>2.8</v>
      </c>
      <c r="O31" s="5">
        <v>7</v>
      </c>
      <c r="P31" s="5">
        <v>16.1</v>
      </c>
      <c r="Q31" s="5">
        <v>0.031</v>
      </c>
      <c r="R31" s="5">
        <v>1.2</v>
      </c>
      <c r="S31" s="5" t="s">
        <v>171</v>
      </c>
    </row>
    <row r="32" spans="1:19">
      <c r="A32" s="5" t="s">
        <v>370</v>
      </c>
      <c r="B32" s="5" t="s">
        <v>182</v>
      </c>
      <c r="C32" s="5" t="s">
        <v>371</v>
      </c>
      <c r="D32" s="5" t="s">
        <v>372</v>
      </c>
      <c r="E32" s="5" t="s">
        <v>373</v>
      </c>
      <c r="F32" s="5" t="s">
        <v>374</v>
      </c>
      <c r="G32" s="5" t="s">
        <v>375</v>
      </c>
      <c r="H32" s="5" t="s">
        <v>376</v>
      </c>
      <c r="I32" s="5" t="s">
        <v>377</v>
      </c>
      <c r="J32" s="5">
        <v>0.14</v>
      </c>
      <c r="K32" s="5">
        <v>0.047</v>
      </c>
      <c r="L32" s="5">
        <v>0.104</v>
      </c>
      <c r="M32" s="5">
        <v>0.233</v>
      </c>
      <c r="N32" s="5">
        <v>2.8</v>
      </c>
      <c r="O32" s="5">
        <v>7</v>
      </c>
      <c r="P32" s="5">
        <v>16.1</v>
      </c>
      <c r="Q32" s="5">
        <v>0.018</v>
      </c>
      <c r="R32" s="5">
        <v>1.2</v>
      </c>
      <c r="S32" s="5" t="s">
        <v>171</v>
      </c>
    </row>
  </sheetData>
  <mergeCells count="1">
    <mergeCell ref="A1:R1"/>
  </mergeCells>
  <conditionalFormatting sqref="J6:J32">
    <cfRule type="colorScale" priority="1">
      <colorScale>
        <cfvo type="min" val="0"/>
        <cfvo type="percentile" val="50"/>
        <cfvo type="max" val="0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</cols>
  <sheetData>
    <row r="1" spans="1:6">
      <c r="A1" s="1" t="s">
        <v>378</v>
      </c>
      <c r="B1" s="1"/>
      <c r="C1" s="1"/>
      <c r="D1" s="1"/>
      <c r="E1" s="1"/>
      <c r="F1" s="1"/>
    </row>
    <row r="5" spans="1:6">
      <c r="A5" s="7" t="s">
        <v>379</v>
      </c>
      <c r="B5" s="7" t="s">
        <v>380</v>
      </c>
      <c r="C5" s="7" t="s">
        <v>381</v>
      </c>
    </row>
    <row r="6" spans="1:6">
      <c r="A6" s="5">
        <v>1</v>
      </c>
      <c r="B6" s="5">
        <v>8.760999999999999</v>
      </c>
      <c r="C6" s="5">
        <v>76.17</v>
      </c>
    </row>
    <row r="7" spans="1:6">
      <c r="A7" s="5">
        <v>5</v>
      </c>
      <c r="B7" s="5">
        <v>9.484999999999999</v>
      </c>
      <c r="C7" s="5">
        <v>79.18000000000001</v>
      </c>
    </row>
    <row r="8" spans="1:6">
      <c r="A8" s="5">
        <v>10</v>
      </c>
      <c r="B8" s="5">
        <v>9.904</v>
      </c>
      <c r="C8" s="5">
        <v>80.87</v>
      </c>
    </row>
    <row r="9" spans="1:6">
      <c r="A9" s="5">
        <v>20</v>
      </c>
      <c r="B9" s="5">
        <v>10.426</v>
      </c>
      <c r="C9" s="5">
        <v>82.93000000000001</v>
      </c>
    </row>
    <row r="10" spans="1:6">
      <c r="A10" s="5">
        <v>30</v>
      </c>
      <c r="B10" s="5">
        <v>10.823</v>
      </c>
      <c r="C10" s="5">
        <v>84.45999999999999</v>
      </c>
    </row>
    <row r="11" spans="1:6">
      <c r="A11" s="5">
        <v>40</v>
      </c>
      <c r="B11" s="5">
        <v>11.169</v>
      </c>
      <c r="C11" s="5">
        <v>85.77</v>
      </c>
    </row>
    <row r="12" spans="1:6">
      <c r="A12" s="5">
        <v>50</v>
      </c>
      <c r="B12" s="5">
        <v>11.5</v>
      </c>
      <c r="C12" s="5">
        <v>87</v>
      </c>
    </row>
    <row r="13" spans="1:6">
      <c r="A13" s="5">
        <v>60</v>
      </c>
      <c r="B13" s="5">
        <v>11.841</v>
      </c>
      <c r="C13" s="5">
        <v>88.25</v>
      </c>
    </row>
    <row r="14" spans="1:6">
      <c r="A14" s="5">
        <v>70</v>
      </c>
      <c r="B14" s="5">
        <v>12.22</v>
      </c>
      <c r="C14" s="5">
        <v>89.62</v>
      </c>
    </row>
    <row r="15" spans="1:6">
      <c r="A15" s="5">
        <v>80</v>
      </c>
      <c r="B15" s="5">
        <v>12.685</v>
      </c>
      <c r="C15" s="5">
        <v>91.27</v>
      </c>
    </row>
    <row r="16" spans="1:6">
      <c r="A16" s="5">
        <v>85</v>
      </c>
      <c r="B16" s="5">
        <v>12.985</v>
      </c>
      <c r="C16" s="5">
        <v>92.31999999999999</v>
      </c>
    </row>
    <row r="17" spans="1:3">
      <c r="A17" s="5">
        <v>90</v>
      </c>
      <c r="B17" s="5">
        <v>13.354</v>
      </c>
      <c r="C17" s="5">
        <v>93.59</v>
      </c>
    </row>
    <row r="18" spans="1:3">
      <c r="A18" s="5">
        <v>95</v>
      </c>
      <c r="B18" s="5">
        <v>13.943</v>
      </c>
      <c r="C18" s="5">
        <v>95.59</v>
      </c>
    </row>
    <row r="19" spans="1:3">
      <c r="A19" s="5">
        <v>99</v>
      </c>
      <c r="B19" s="5">
        <v>15.096</v>
      </c>
      <c r="C19" s="5">
        <v>99.37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2.7109375" customWidth="1"/>
    <col min="4" max="4" width="14.7109375" customWidth="1"/>
    <col min="5" max="5" width="18.7109375" customWidth="1"/>
    <col min="6" max="6" width="45.7109375" customWidth="1"/>
    <col min="8" max="8" width="8.7109375" customWidth="1"/>
    <col min="9" max="9" width="30.7109375" customWidth="1"/>
    <col min="10" max="10" width="12.7109375" customWidth="1"/>
    <col min="11" max="12" width="18.7109375" customWidth="1"/>
    <col min="13" max="13" width="45.7109375" customWidth="1"/>
  </cols>
  <sheetData>
    <row r="1" spans="1:13">
      <c r="A1" s="1" t="s">
        <v>382</v>
      </c>
      <c r="B1" s="1"/>
      <c r="C1" s="1"/>
      <c r="D1" s="1"/>
      <c r="E1" s="1"/>
      <c r="F1" s="1"/>
      <c r="G1" s="1"/>
      <c r="H1" s="1"/>
    </row>
    <row r="5" spans="1:13">
      <c r="A5" s="7" t="s">
        <v>383</v>
      </c>
      <c r="B5" s="7" t="s">
        <v>384</v>
      </c>
      <c r="C5" s="7" t="s">
        <v>144</v>
      </c>
      <c r="D5" s="7" t="s">
        <v>159</v>
      </c>
      <c r="E5" s="7" t="s">
        <v>149</v>
      </c>
      <c r="F5" s="7" t="s">
        <v>150</v>
      </c>
      <c r="H5" s="7" t="s">
        <v>383</v>
      </c>
      <c r="I5" s="7" t="s">
        <v>385</v>
      </c>
      <c r="J5" s="7" t="s">
        <v>144</v>
      </c>
      <c r="K5" s="7" t="s">
        <v>160</v>
      </c>
      <c r="L5" s="7" t="s">
        <v>149</v>
      </c>
      <c r="M5" s="7" t="s">
        <v>150</v>
      </c>
    </row>
    <row r="6" spans="1:13">
      <c r="A6" s="5">
        <v>1</v>
      </c>
      <c r="B6" s="5" t="s">
        <v>174</v>
      </c>
      <c r="C6" s="5" t="s">
        <v>172</v>
      </c>
      <c r="D6" s="5">
        <v>0.163</v>
      </c>
      <c r="E6" s="5" t="s">
        <v>178</v>
      </c>
      <c r="F6" s="5" t="s">
        <v>179</v>
      </c>
      <c r="H6" s="5">
        <v>1</v>
      </c>
      <c r="I6" s="5" t="s">
        <v>183</v>
      </c>
      <c r="J6" s="5" t="s">
        <v>181</v>
      </c>
      <c r="K6" s="5">
        <v>26.1</v>
      </c>
      <c r="L6" s="5" t="s">
        <v>187</v>
      </c>
      <c r="M6" s="5" t="s">
        <v>188</v>
      </c>
    </row>
    <row r="7" spans="1:13">
      <c r="A7" s="5">
        <v>2</v>
      </c>
      <c r="B7" s="5" t="s">
        <v>164</v>
      </c>
      <c r="C7" s="5" t="s">
        <v>162</v>
      </c>
      <c r="D7" s="5">
        <v>0.153</v>
      </c>
      <c r="E7" s="5" t="s">
        <v>168</v>
      </c>
      <c r="F7" s="5" t="s">
        <v>169</v>
      </c>
      <c r="H7" s="5">
        <v>2</v>
      </c>
      <c r="I7" s="5" t="s">
        <v>244</v>
      </c>
      <c r="J7" s="5" t="s">
        <v>243</v>
      </c>
      <c r="K7" s="5">
        <v>26.1</v>
      </c>
      <c r="L7" s="5" t="s">
        <v>231</v>
      </c>
      <c r="M7" s="5" t="s">
        <v>248</v>
      </c>
    </row>
    <row r="8" spans="1:13">
      <c r="A8" s="5">
        <v>3</v>
      </c>
      <c r="B8" s="5" t="s">
        <v>252</v>
      </c>
      <c r="C8" s="5" t="s">
        <v>250</v>
      </c>
      <c r="D8" s="5">
        <v>0.137</v>
      </c>
      <c r="E8" s="5" t="s">
        <v>256</v>
      </c>
      <c r="F8" s="5" t="s">
        <v>257</v>
      </c>
      <c r="H8" s="5">
        <v>3</v>
      </c>
      <c r="I8" s="5" t="s">
        <v>191</v>
      </c>
      <c r="J8" s="5" t="s">
        <v>190</v>
      </c>
      <c r="K8" s="5">
        <v>20.7</v>
      </c>
      <c r="L8" s="5" t="s">
        <v>195</v>
      </c>
      <c r="M8" s="5" t="s">
        <v>196</v>
      </c>
    </row>
    <row r="9" spans="1:13">
      <c r="A9" s="5">
        <v>4</v>
      </c>
      <c r="B9" s="5" t="s">
        <v>200</v>
      </c>
      <c r="C9" s="5" t="s">
        <v>198</v>
      </c>
      <c r="D9" s="5">
        <v>0.125</v>
      </c>
      <c r="E9" s="5" t="s">
        <v>204</v>
      </c>
      <c r="F9" s="5" t="s">
        <v>205</v>
      </c>
      <c r="H9" s="5">
        <v>4</v>
      </c>
      <c r="I9" s="5" t="s">
        <v>260</v>
      </c>
      <c r="J9" s="5" t="s">
        <v>259</v>
      </c>
      <c r="K9" s="5">
        <v>20.7</v>
      </c>
      <c r="L9" s="5" t="s">
        <v>168</v>
      </c>
      <c r="M9" s="5" t="s">
        <v>264</v>
      </c>
    </row>
    <row r="10" spans="1:13">
      <c r="A10" s="5">
        <v>5</v>
      </c>
      <c r="B10" s="5" t="s">
        <v>209</v>
      </c>
      <c r="C10" s="5" t="s">
        <v>207</v>
      </c>
      <c r="D10" s="5">
        <v>0.125</v>
      </c>
      <c r="E10" s="5" t="s">
        <v>213</v>
      </c>
      <c r="F10" s="5" t="s">
        <v>214</v>
      </c>
      <c r="H10" s="5">
        <v>5</v>
      </c>
      <c r="I10" s="5" t="s">
        <v>209</v>
      </c>
      <c r="J10" s="5" t="s">
        <v>207</v>
      </c>
      <c r="K10" s="5">
        <v>19.2</v>
      </c>
      <c r="L10" s="5" t="s">
        <v>213</v>
      </c>
      <c r="M10" s="5" t="s">
        <v>214</v>
      </c>
    </row>
    <row r="11" spans="1:13">
      <c r="A11" s="5">
        <v>6</v>
      </c>
      <c r="B11" s="5" t="s">
        <v>191</v>
      </c>
      <c r="C11" s="5" t="s">
        <v>190</v>
      </c>
      <c r="D11" s="5">
        <v>0.115</v>
      </c>
      <c r="E11" s="5" t="s">
        <v>195</v>
      </c>
      <c r="F11" s="5" t="s">
        <v>196</v>
      </c>
      <c r="H11" s="5">
        <v>6</v>
      </c>
      <c r="I11" s="5" t="s">
        <v>218</v>
      </c>
      <c r="J11" s="5" t="s">
        <v>216</v>
      </c>
      <c r="K11" s="5">
        <v>17.8</v>
      </c>
      <c r="L11" s="5" t="s">
        <v>222</v>
      </c>
      <c r="M11" s="5" t="s">
        <v>223</v>
      </c>
    </row>
    <row r="12" spans="1:13">
      <c r="A12" s="5">
        <v>7</v>
      </c>
      <c r="B12" s="5" t="s">
        <v>227</v>
      </c>
      <c r="C12" s="5" t="s">
        <v>225</v>
      </c>
      <c r="D12" s="5">
        <v>0.105</v>
      </c>
      <c r="E12" s="5" t="s">
        <v>231</v>
      </c>
      <c r="F12" s="5" t="s">
        <v>232</v>
      </c>
      <c r="H12" s="5">
        <v>7</v>
      </c>
      <c r="I12" s="5" t="s">
        <v>236</v>
      </c>
      <c r="J12" s="5" t="s">
        <v>234</v>
      </c>
      <c r="K12" s="5">
        <v>17.2</v>
      </c>
      <c r="L12" s="5" t="s">
        <v>240</v>
      </c>
      <c r="M12" s="5" t="s">
        <v>241</v>
      </c>
    </row>
    <row r="13" spans="1:13">
      <c r="A13" s="5">
        <v>8</v>
      </c>
      <c r="B13" s="5" t="s">
        <v>236</v>
      </c>
      <c r="C13" s="5" t="s">
        <v>234</v>
      </c>
      <c r="D13" s="5">
        <v>0.102</v>
      </c>
      <c r="E13" s="5" t="s">
        <v>240</v>
      </c>
      <c r="F13" s="5" t="s">
        <v>241</v>
      </c>
      <c r="H13" s="5">
        <v>8</v>
      </c>
      <c r="I13" s="5" t="s">
        <v>267</v>
      </c>
      <c r="J13" s="5" t="s">
        <v>266</v>
      </c>
      <c r="K13" s="5">
        <v>15.8</v>
      </c>
      <c r="L13" s="5" t="s">
        <v>271</v>
      </c>
      <c r="M13" s="5" t="s">
        <v>272</v>
      </c>
    </row>
    <row r="14" spans="1:13">
      <c r="A14" s="5">
        <v>9</v>
      </c>
      <c r="B14" s="5" t="s">
        <v>218</v>
      </c>
      <c r="C14" s="5" t="s">
        <v>216</v>
      </c>
      <c r="D14" s="5">
        <v>0.093</v>
      </c>
      <c r="E14" s="5" t="s">
        <v>222</v>
      </c>
      <c r="F14" s="5" t="s">
        <v>223</v>
      </c>
      <c r="H14" s="5">
        <v>9</v>
      </c>
      <c r="I14" s="5" t="s">
        <v>298</v>
      </c>
      <c r="J14" s="5" t="s">
        <v>297</v>
      </c>
      <c r="K14" s="5">
        <v>15.8</v>
      </c>
      <c r="L14" s="5" t="s">
        <v>302</v>
      </c>
      <c r="M14" s="5" t="s">
        <v>303</v>
      </c>
    </row>
    <row r="15" spans="1:13">
      <c r="A15" s="5">
        <v>10</v>
      </c>
      <c r="B15" s="5" t="s">
        <v>275</v>
      </c>
      <c r="C15" s="5" t="s">
        <v>274</v>
      </c>
      <c r="D15" s="5">
        <v>0.089</v>
      </c>
      <c r="E15" s="5" t="s">
        <v>240</v>
      </c>
      <c r="F15" s="5" t="s">
        <v>279</v>
      </c>
      <c r="H15" s="5">
        <v>10</v>
      </c>
      <c r="I15" s="5" t="s">
        <v>283</v>
      </c>
      <c r="J15" s="5" t="s">
        <v>281</v>
      </c>
      <c r="K15" s="5">
        <v>13.5</v>
      </c>
      <c r="L15" s="5" t="s">
        <v>287</v>
      </c>
      <c r="M15" s="5" t="s">
        <v>288</v>
      </c>
    </row>
    <row r="16" spans="1:13">
      <c r="A16" s="5">
        <v>11</v>
      </c>
      <c r="B16" s="5" t="s">
        <v>183</v>
      </c>
      <c r="C16" s="5" t="s">
        <v>181</v>
      </c>
      <c r="D16" s="5">
        <v>0.08500000000000001</v>
      </c>
      <c r="E16" s="5" t="s">
        <v>187</v>
      </c>
      <c r="F16" s="5" t="s">
        <v>188</v>
      </c>
      <c r="H16" s="5">
        <v>11</v>
      </c>
      <c r="I16" s="5" t="s">
        <v>174</v>
      </c>
      <c r="J16" s="5" t="s">
        <v>172</v>
      </c>
      <c r="K16" s="5">
        <v>12.2</v>
      </c>
      <c r="L16" s="5" t="s">
        <v>178</v>
      </c>
      <c r="M16" s="5" t="s">
        <v>179</v>
      </c>
    </row>
    <row r="17" spans="1:13">
      <c r="A17" s="5">
        <v>12</v>
      </c>
      <c r="B17" s="5" t="s">
        <v>267</v>
      </c>
      <c r="C17" s="5" t="s">
        <v>266</v>
      </c>
      <c r="D17" s="5">
        <v>0.08500000000000001</v>
      </c>
      <c r="E17" s="5" t="s">
        <v>271</v>
      </c>
      <c r="F17" s="5" t="s">
        <v>272</v>
      </c>
      <c r="H17" s="5">
        <v>12</v>
      </c>
      <c r="I17" s="5" t="s">
        <v>275</v>
      </c>
      <c r="J17" s="5" t="s">
        <v>274</v>
      </c>
      <c r="K17" s="5">
        <v>11.7</v>
      </c>
      <c r="L17" s="5" t="s">
        <v>240</v>
      </c>
      <c r="M17" s="5" t="s">
        <v>279</v>
      </c>
    </row>
    <row r="18" spans="1:13">
      <c r="A18" s="5">
        <v>13</v>
      </c>
      <c r="B18" s="5" t="s">
        <v>314</v>
      </c>
      <c r="C18" s="5" t="s">
        <v>313</v>
      </c>
      <c r="D18" s="5">
        <v>0.063</v>
      </c>
      <c r="E18" s="5" t="s">
        <v>318</v>
      </c>
      <c r="F18" s="5" t="s">
        <v>319</v>
      </c>
      <c r="H18" s="5">
        <v>13</v>
      </c>
      <c r="I18" s="5" t="s">
        <v>291</v>
      </c>
      <c r="J18" s="5" t="s">
        <v>290</v>
      </c>
      <c r="K18" s="5">
        <v>11.7</v>
      </c>
      <c r="L18" s="5" t="s">
        <v>178</v>
      </c>
      <c r="M18" s="5" t="s">
        <v>295</v>
      </c>
    </row>
    <row r="19" spans="1:13">
      <c r="A19" s="5">
        <v>14</v>
      </c>
      <c r="B19" s="5" t="s">
        <v>291</v>
      </c>
      <c r="C19" s="5" t="s">
        <v>290</v>
      </c>
      <c r="D19" s="5">
        <v>0.059</v>
      </c>
      <c r="E19" s="5" t="s">
        <v>178</v>
      </c>
      <c r="F19" s="5" t="s">
        <v>295</v>
      </c>
      <c r="H19" s="5">
        <v>14</v>
      </c>
      <c r="I19" s="5" t="s">
        <v>164</v>
      </c>
      <c r="J19" s="5" t="s">
        <v>162</v>
      </c>
      <c r="K19" s="5">
        <v>11.2</v>
      </c>
      <c r="L19" s="5" t="s">
        <v>168</v>
      </c>
      <c r="M19" s="5" t="s">
        <v>169</v>
      </c>
    </row>
    <row r="20" spans="1:13">
      <c r="A20" s="5">
        <v>15</v>
      </c>
      <c r="B20" s="5" t="s">
        <v>260</v>
      </c>
      <c r="C20" s="5" t="s">
        <v>259</v>
      </c>
      <c r="D20" s="5">
        <v>0.058</v>
      </c>
      <c r="E20" s="5" t="s">
        <v>168</v>
      </c>
      <c r="F20" s="5" t="s">
        <v>264</v>
      </c>
      <c r="H20" s="5">
        <v>15</v>
      </c>
      <c r="I20" s="5" t="s">
        <v>200</v>
      </c>
      <c r="J20" s="5" t="s">
        <v>198</v>
      </c>
      <c r="K20" s="5">
        <v>8.699999999999999</v>
      </c>
      <c r="L20" s="5" t="s">
        <v>204</v>
      </c>
      <c r="M20" s="5" t="s">
        <v>205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36.7109375" customWidth="1"/>
    <col min="5" max="5" width="20.7109375" customWidth="1"/>
    <col min="6" max="6" width="14.7109375" customWidth="1"/>
    <col min="7" max="7" width="12.7109375" customWidth="1"/>
    <col min="8" max="8" width="45.7109375" customWidth="1"/>
  </cols>
  <sheetData>
    <row r="1" spans="1:8">
      <c r="A1" s="1" t="s">
        <v>386</v>
      </c>
      <c r="B1" s="1"/>
      <c r="C1" s="1"/>
      <c r="D1" s="1"/>
      <c r="E1" s="1"/>
      <c r="F1" s="1"/>
      <c r="G1" s="1"/>
      <c r="H1" s="1"/>
    </row>
    <row r="5" spans="1:8">
      <c r="A5" s="7" t="s">
        <v>387</v>
      </c>
      <c r="B5" s="7" t="s">
        <v>388</v>
      </c>
      <c r="C5" s="7" t="s">
        <v>389</v>
      </c>
      <c r="D5" s="7" t="s">
        <v>390</v>
      </c>
      <c r="E5" s="7" t="s">
        <v>391</v>
      </c>
      <c r="F5" s="7" t="s">
        <v>392</v>
      </c>
      <c r="G5" s="7" t="s">
        <v>393</v>
      </c>
      <c r="H5" s="7" t="s">
        <v>63</v>
      </c>
    </row>
    <row r="6" spans="1:8">
      <c r="A6" s="5">
        <v>1</v>
      </c>
      <c r="B6" s="5" t="s">
        <v>394</v>
      </c>
      <c r="C6" s="5" t="s">
        <v>395</v>
      </c>
      <c r="D6" s="5" t="s">
        <v>396</v>
      </c>
      <c r="E6" s="5"/>
      <c r="F6" s="5">
        <v>4</v>
      </c>
      <c r="G6" s="5" t="s">
        <v>397</v>
      </c>
      <c r="H6" s="5" t="s">
        <v>398</v>
      </c>
    </row>
    <row r="7" spans="1:8">
      <c r="A7" s="5">
        <v>1</v>
      </c>
      <c r="B7" s="5" t="s">
        <v>399</v>
      </c>
      <c r="C7" s="5" t="s">
        <v>395</v>
      </c>
      <c r="D7" s="5" t="s">
        <v>400</v>
      </c>
      <c r="E7" s="5" t="s">
        <v>394</v>
      </c>
      <c r="F7" s="5">
        <v>17</v>
      </c>
      <c r="G7" s="5" t="s">
        <v>397</v>
      </c>
      <c r="H7" s="5" t="s">
        <v>398</v>
      </c>
    </row>
    <row r="8" spans="1:8">
      <c r="A8" s="5">
        <v>1</v>
      </c>
      <c r="B8" s="5" t="s">
        <v>401</v>
      </c>
      <c r="C8" s="5" t="s">
        <v>395</v>
      </c>
      <c r="D8" s="5" t="s">
        <v>402</v>
      </c>
      <c r="E8" s="5" t="s">
        <v>399</v>
      </c>
      <c r="F8" s="5">
        <v>13</v>
      </c>
      <c r="G8" s="5" t="s">
        <v>397</v>
      </c>
      <c r="H8" s="5" t="s">
        <v>398</v>
      </c>
    </row>
    <row r="9" spans="1:8">
      <c r="A9" s="5">
        <v>1</v>
      </c>
      <c r="B9" s="5" t="s">
        <v>403</v>
      </c>
      <c r="C9" s="5" t="s">
        <v>395</v>
      </c>
      <c r="D9" s="5" t="s">
        <v>404</v>
      </c>
      <c r="E9" s="5" t="s">
        <v>401</v>
      </c>
      <c r="F9" s="5">
        <v>35</v>
      </c>
      <c r="G9" s="5" t="s">
        <v>397</v>
      </c>
      <c r="H9" s="5" t="s">
        <v>398</v>
      </c>
    </row>
    <row r="10" spans="1:8">
      <c r="A10" s="5">
        <v>1</v>
      </c>
      <c r="B10" s="5" t="s">
        <v>405</v>
      </c>
      <c r="C10" s="5" t="s">
        <v>395</v>
      </c>
      <c r="D10" s="5" t="s">
        <v>406</v>
      </c>
      <c r="E10" s="5" t="s">
        <v>403</v>
      </c>
      <c r="F10" s="5">
        <v>13</v>
      </c>
      <c r="G10" s="5" t="s">
        <v>397</v>
      </c>
      <c r="H10" s="5" t="s">
        <v>398</v>
      </c>
    </row>
    <row r="11" spans="1:8">
      <c r="A11" s="5">
        <v>1</v>
      </c>
      <c r="B11" s="5" t="s">
        <v>407</v>
      </c>
      <c r="C11" s="5" t="s">
        <v>395</v>
      </c>
      <c r="D11" s="5" t="s">
        <v>251</v>
      </c>
      <c r="E11" s="5" t="s">
        <v>405</v>
      </c>
      <c r="F11" s="5">
        <v>4</v>
      </c>
      <c r="G11" s="5" t="s">
        <v>397</v>
      </c>
      <c r="H11" s="5" t="s">
        <v>398</v>
      </c>
    </row>
    <row r="12" spans="1:8">
      <c r="A12" s="5">
        <v>2</v>
      </c>
      <c r="B12" s="5" t="s">
        <v>408</v>
      </c>
      <c r="C12" s="5" t="s">
        <v>409</v>
      </c>
      <c r="D12" s="5" t="s">
        <v>410</v>
      </c>
      <c r="E12" s="5"/>
      <c r="F12" s="5">
        <v>3</v>
      </c>
      <c r="G12" s="5" t="s">
        <v>397</v>
      </c>
      <c r="H12" s="5" t="s">
        <v>398</v>
      </c>
    </row>
    <row r="13" spans="1:8">
      <c r="A13" s="5">
        <v>2</v>
      </c>
      <c r="B13" s="5" t="s">
        <v>411</v>
      </c>
      <c r="C13" s="5" t="s">
        <v>412</v>
      </c>
      <c r="D13" s="5" t="s">
        <v>413</v>
      </c>
      <c r="E13" s="5" t="s">
        <v>408</v>
      </c>
      <c r="F13" s="5">
        <v>4</v>
      </c>
      <c r="G13" s="5" t="s">
        <v>397</v>
      </c>
      <c r="H13" s="5" t="s">
        <v>398</v>
      </c>
    </row>
    <row r="14" spans="1:8">
      <c r="A14" s="5">
        <v>2</v>
      </c>
      <c r="B14" s="5" t="s">
        <v>414</v>
      </c>
      <c r="C14" s="5" t="s">
        <v>163</v>
      </c>
      <c r="D14" s="5" t="s">
        <v>415</v>
      </c>
      <c r="E14" s="5" t="s">
        <v>411</v>
      </c>
      <c r="F14" s="5">
        <v>4</v>
      </c>
      <c r="G14" s="5" t="s">
        <v>397</v>
      </c>
      <c r="H14" s="5" t="s">
        <v>398</v>
      </c>
    </row>
    <row r="15" spans="1:8">
      <c r="A15" s="5">
        <v>2</v>
      </c>
      <c r="B15" s="5" t="s">
        <v>416</v>
      </c>
      <c r="C15" s="5" t="s">
        <v>417</v>
      </c>
      <c r="D15" s="5" t="s">
        <v>418</v>
      </c>
      <c r="E15" s="5" t="s">
        <v>414</v>
      </c>
      <c r="F15" s="5">
        <v>7</v>
      </c>
      <c r="G15" s="5" t="s">
        <v>397</v>
      </c>
      <c r="H15" s="5" t="s">
        <v>398</v>
      </c>
    </row>
    <row r="16" spans="1:8">
      <c r="A16" s="5">
        <v>2</v>
      </c>
      <c r="B16" s="5" t="s">
        <v>419</v>
      </c>
      <c r="C16" s="5" t="s">
        <v>420</v>
      </c>
      <c r="D16" s="5" t="s">
        <v>421</v>
      </c>
      <c r="E16" s="5" t="s">
        <v>414</v>
      </c>
      <c r="F16" s="5">
        <v>8</v>
      </c>
      <c r="G16" s="5" t="s">
        <v>422</v>
      </c>
      <c r="H16" s="5" t="s">
        <v>398</v>
      </c>
    </row>
    <row r="17" spans="1:8">
      <c r="A17" s="5">
        <v>2</v>
      </c>
      <c r="B17" s="5" t="s">
        <v>423</v>
      </c>
      <c r="C17" s="5" t="s">
        <v>217</v>
      </c>
      <c r="D17" s="5" t="s">
        <v>424</v>
      </c>
      <c r="E17" s="5" t="s">
        <v>416</v>
      </c>
      <c r="F17" s="5">
        <v>5</v>
      </c>
      <c r="G17" s="5" t="s">
        <v>397</v>
      </c>
      <c r="H17" s="5" t="s">
        <v>398</v>
      </c>
    </row>
    <row r="18" spans="1:8">
      <c r="A18" s="5">
        <v>2</v>
      </c>
      <c r="B18" s="5" t="s">
        <v>425</v>
      </c>
      <c r="C18" s="5" t="s">
        <v>417</v>
      </c>
      <c r="D18" s="5" t="s">
        <v>426</v>
      </c>
      <c r="E18" s="5" t="s">
        <v>416</v>
      </c>
      <c r="F18" s="5">
        <v>9</v>
      </c>
      <c r="G18" s="5" t="s">
        <v>397</v>
      </c>
      <c r="H18" s="5" t="s">
        <v>398</v>
      </c>
    </row>
    <row r="19" spans="1:8">
      <c r="A19" s="5">
        <v>2</v>
      </c>
      <c r="B19" s="5" t="s">
        <v>427</v>
      </c>
      <c r="C19" s="5" t="s">
        <v>217</v>
      </c>
      <c r="D19" s="5" t="s">
        <v>428</v>
      </c>
      <c r="E19" s="5" t="s">
        <v>423</v>
      </c>
      <c r="F19" s="5">
        <v>8</v>
      </c>
      <c r="G19" s="5" t="s">
        <v>422</v>
      </c>
      <c r="H19" s="5" t="s">
        <v>398</v>
      </c>
    </row>
    <row r="20" spans="1:8">
      <c r="A20" s="5">
        <v>2</v>
      </c>
      <c r="B20" s="5" t="s">
        <v>429</v>
      </c>
      <c r="C20" s="5" t="s">
        <v>430</v>
      </c>
      <c r="D20" s="5" t="s">
        <v>431</v>
      </c>
      <c r="E20" s="5" t="s">
        <v>432</v>
      </c>
      <c r="F20" s="5">
        <v>6</v>
      </c>
      <c r="G20" s="5" t="s">
        <v>397</v>
      </c>
      <c r="H20" s="5" t="s">
        <v>398</v>
      </c>
    </row>
    <row r="21" spans="1:8">
      <c r="A21" s="5">
        <v>2</v>
      </c>
      <c r="B21" s="5" t="s">
        <v>433</v>
      </c>
      <c r="C21" s="5" t="s">
        <v>282</v>
      </c>
      <c r="D21" s="5" t="s">
        <v>434</v>
      </c>
      <c r="E21" s="5" t="s">
        <v>435</v>
      </c>
      <c r="F21" s="5">
        <v>19</v>
      </c>
      <c r="G21" s="5" t="s">
        <v>422</v>
      </c>
      <c r="H21" s="5" t="s">
        <v>398</v>
      </c>
    </row>
    <row r="22" spans="1:8">
      <c r="A22" s="5">
        <v>2</v>
      </c>
      <c r="B22" s="5" t="s">
        <v>436</v>
      </c>
      <c r="C22" s="5" t="s">
        <v>208</v>
      </c>
      <c r="D22" s="5" t="s">
        <v>437</v>
      </c>
      <c r="E22" s="5" t="s">
        <v>433</v>
      </c>
      <c r="F22" s="5">
        <v>9</v>
      </c>
      <c r="G22" s="5" t="s">
        <v>422</v>
      </c>
      <c r="H22" s="5" t="s">
        <v>398</v>
      </c>
    </row>
    <row r="23" spans="1:8">
      <c r="A23" s="5">
        <v>2</v>
      </c>
      <c r="B23" s="5" t="s">
        <v>438</v>
      </c>
      <c r="C23" s="5" t="s">
        <v>251</v>
      </c>
      <c r="D23" s="5" t="s">
        <v>439</v>
      </c>
      <c r="E23" s="5" t="s">
        <v>436</v>
      </c>
      <c r="F23" s="5">
        <v>5</v>
      </c>
      <c r="G23" s="5" t="s">
        <v>422</v>
      </c>
      <c r="H23" s="5" t="s">
        <v>398</v>
      </c>
    </row>
    <row r="24" spans="1:8">
      <c r="A24" s="5">
        <v>3</v>
      </c>
      <c r="B24" s="5" t="s">
        <v>408</v>
      </c>
      <c r="C24" s="5" t="s">
        <v>409</v>
      </c>
      <c r="D24" s="5" t="s">
        <v>410</v>
      </c>
      <c r="E24" s="5"/>
      <c r="F24" s="5">
        <v>3</v>
      </c>
      <c r="G24" s="5" t="s">
        <v>397</v>
      </c>
      <c r="H24" s="5" t="s">
        <v>398</v>
      </c>
    </row>
    <row r="25" spans="1:8">
      <c r="A25" s="5">
        <v>3</v>
      </c>
      <c r="B25" s="5" t="s">
        <v>411</v>
      </c>
      <c r="C25" s="5" t="s">
        <v>412</v>
      </c>
      <c r="D25" s="5" t="s">
        <v>413</v>
      </c>
      <c r="E25" s="5" t="s">
        <v>408</v>
      </c>
      <c r="F25" s="5">
        <v>4</v>
      </c>
      <c r="G25" s="5" t="s">
        <v>397</v>
      </c>
      <c r="H25" s="5" t="s">
        <v>398</v>
      </c>
    </row>
    <row r="26" spans="1:8">
      <c r="A26" s="5">
        <v>3</v>
      </c>
      <c r="B26" s="5" t="s">
        <v>414</v>
      </c>
      <c r="C26" s="5" t="s">
        <v>163</v>
      </c>
      <c r="D26" s="5" t="s">
        <v>415</v>
      </c>
      <c r="E26" s="5" t="s">
        <v>411</v>
      </c>
      <c r="F26" s="5">
        <v>4</v>
      </c>
      <c r="G26" s="5" t="s">
        <v>397</v>
      </c>
      <c r="H26" s="5" t="s">
        <v>398</v>
      </c>
    </row>
    <row r="27" spans="1:8">
      <c r="A27" s="5">
        <v>3</v>
      </c>
      <c r="B27" s="5" t="s">
        <v>416</v>
      </c>
      <c r="C27" s="5" t="s">
        <v>417</v>
      </c>
      <c r="D27" s="5" t="s">
        <v>418</v>
      </c>
      <c r="E27" s="5" t="s">
        <v>414</v>
      </c>
      <c r="F27" s="5">
        <v>7</v>
      </c>
      <c r="G27" s="5" t="s">
        <v>397</v>
      </c>
      <c r="H27" s="5" t="s">
        <v>398</v>
      </c>
    </row>
    <row r="28" spans="1:8">
      <c r="A28" s="5">
        <v>3</v>
      </c>
      <c r="B28" s="5" t="s">
        <v>419</v>
      </c>
      <c r="C28" s="5" t="s">
        <v>420</v>
      </c>
      <c r="D28" s="5" t="s">
        <v>421</v>
      </c>
      <c r="E28" s="5" t="s">
        <v>414</v>
      </c>
      <c r="F28" s="5">
        <v>8</v>
      </c>
      <c r="G28" s="5" t="s">
        <v>422</v>
      </c>
      <c r="H28" s="5" t="s">
        <v>398</v>
      </c>
    </row>
    <row r="29" spans="1:8">
      <c r="A29" s="5">
        <v>3</v>
      </c>
      <c r="B29" s="5" t="s">
        <v>423</v>
      </c>
      <c r="C29" s="5" t="s">
        <v>217</v>
      </c>
      <c r="D29" s="5" t="s">
        <v>424</v>
      </c>
      <c r="E29" s="5" t="s">
        <v>416</v>
      </c>
      <c r="F29" s="5">
        <v>5</v>
      </c>
      <c r="G29" s="5" t="s">
        <v>397</v>
      </c>
      <c r="H29" s="5" t="s">
        <v>398</v>
      </c>
    </row>
    <row r="30" spans="1:8">
      <c r="A30" s="5">
        <v>3</v>
      </c>
      <c r="B30" s="5" t="s">
        <v>425</v>
      </c>
      <c r="C30" s="5" t="s">
        <v>417</v>
      </c>
      <c r="D30" s="5" t="s">
        <v>426</v>
      </c>
      <c r="E30" s="5" t="s">
        <v>416</v>
      </c>
      <c r="F30" s="5">
        <v>9</v>
      </c>
      <c r="G30" s="5" t="s">
        <v>397</v>
      </c>
      <c r="H30" s="5" t="s">
        <v>398</v>
      </c>
    </row>
    <row r="31" spans="1:8">
      <c r="A31" s="5">
        <v>3</v>
      </c>
      <c r="B31" s="5" t="s">
        <v>427</v>
      </c>
      <c r="C31" s="5" t="s">
        <v>217</v>
      </c>
      <c r="D31" s="5" t="s">
        <v>428</v>
      </c>
      <c r="E31" s="5" t="s">
        <v>423</v>
      </c>
      <c r="F31" s="5">
        <v>8</v>
      </c>
      <c r="G31" s="5" t="s">
        <v>422</v>
      </c>
      <c r="H31" s="5" t="s">
        <v>398</v>
      </c>
    </row>
    <row r="32" spans="1:8">
      <c r="A32" s="5">
        <v>3</v>
      </c>
      <c r="B32" s="5" t="s">
        <v>429</v>
      </c>
      <c r="C32" s="5" t="s">
        <v>430</v>
      </c>
      <c r="D32" s="5" t="s">
        <v>431</v>
      </c>
      <c r="E32" s="5" t="s">
        <v>432</v>
      </c>
      <c r="F32" s="5">
        <v>6</v>
      </c>
      <c r="G32" s="5" t="s">
        <v>397</v>
      </c>
      <c r="H32" s="5" t="s">
        <v>398</v>
      </c>
    </row>
    <row r="33" spans="1:8">
      <c r="A33" s="5">
        <v>3</v>
      </c>
      <c r="B33" s="5" t="s">
        <v>433</v>
      </c>
      <c r="C33" s="5" t="s">
        <v>282</v>
      </c>
      <c r="D33" s="5" t="s">
        <v>434</v>
      </c>
      <c r="E33" s="5" t="s">
        <v>435</v>
      </c>
      <c r="F33" s="5">
        <v>19</v>
      </c>
      <c r="G33" s="5" t="s">
        <v>422</v>
      </c>
      <c r="H33" s="5" t="s">
        <v>398</v>
      </c>
    </row>
    <row r="34" spans="1:8">
      <c r="A34" s="5">
        <v>3</v>
      </c>
      <c r="B34" s="5" t="s">
        <v>436</v>
      </c>
      <c r="C34" s="5" t="s">
        <v>208</v>
      </c>
      <c r="D34" s="5" t="s">
        <v>437</v>
      </c>
      <c r="E34" s="5" t="s">
        <v>433</v>
      </c>
      <c r="F34" s="5">
        <v>9</v>
      </c>
      <c r="G34" s="5" t="s">
        <v>422</v>
      </c>
      <c r="H34" s="5" t="s">
        <v>398</v>
      </c>
    </row>
    <row r="35" spans="1:8">
      <c r="A35" s="5">
        <v>3</v>
      </c>
      <c r="B35" s="5" t="s">
        <v>438</v>
      </c>
      <c r="C35" s="5" t="s">
        <v>251</v>
      </c>
      <c r="D35" s="5" t="s">
        <v>439</v>
      </c>
      <c r="E35" s="5" t="s">
        <v>436</v>
      </c>
      <c r="F35" s="5">
        <v>5</v>
      </c>
      <c r="G35" s="5" t="s">
        <v>422</v>
      </c>
      <c r="H35" s="5" t="s">
        <v>398</v>
      </c>
    </row>
    <row r="36" spans="1:8">
      <c r="A36" s="5">
        <v>4</v>
      </c>
      <c r="B36" s="5" t="s">
        <v>408</v>
      </c>
      <c r="C36" s="5" t="s">
        <v>409</v>
      </c>
      <c r="D36" s="5" t="s">
        <v>410</v>
      </c>
      <c r="E36" s="5"/>
      <c r="F36" s="5">
        <v>3</v>
      </c>
      <c r="G36" s="5" t="s">
        <v>397</v>
      </c>
      <c r="H36" s="5" t="s">
        <v>398</v>
      </c>
    </row>
    <row r="37" spans="1:8">
      <c r="A37" s="5">
        <v>4</v>
      </c>
      <c r="B37" s="5" t="s">
        <v>411</v>
      </c>
      <c r="C37" s="5" t="s">
        <v>412</v>
      </c>
      <c r="D37" s="5" t="s">
        <v>413</v>
      </c>
      <c r="E37" s="5" t="s">
        <v>408</v>
      </c>
      <c r="F37" s="5">
        <v>4</v>
      </c>
      <c r="G37" s="5" t="s">
        <v>397</v>
      </c>
      <c r="H37" s="5" t="s">
        <v>398</v>
      </c>
    </row>
    <row r="38" spans="1:8">
      <c r="A38" s="5">
        <v>4</v>
      </c>
      <c r="B38" s="5" t="s">
        <v>414</v>
      </c>
      <c r="C38" s="5" t="s">
        <v>163</v>
      </c>
      <c r="D38" s="5" t="s">
        <v>415</v>
      </c>
      <c r="E38" s="5" t="s">
        <v>411</v>
      </c>
      <c r="F38" s="5">
        <v>4</v>
      </c>
      <c r="G38" s="5" t="s">
        <v>397</v>
      </c>
      <c r="H38" s="5" t="s">
        <v>398</v>
      </c>
    </row>
    <row r="39" spans="1:8">
      <c r="A39" s="5">
        <v>4</v>
      </c>
      <c r="B39" s="5" t="s">
        <v>416</v>
      </c>
      <c r="C39" s="5" t="s">
        <v>417</v>
      </c>
      <c r="D39" s="5" t="s">
        <v>418</v>
      </c>
      <c r="E39" s="5" t="s">
        <v>414</v>
      </c>
      <c r="F39" s="5">
        <v>7</v>
      </c>
      <c r="G39" s="5" t="s">
        <v>397</v>
      </c>
      <c r="H39" s="5" t="s">
        <v>398</v>
      </c>
    </row>
    <row r="40" spans="1:8">
      <c r="A40" s="5">
        <v>4</v>
      </c>
      <c r="B40" s="5" t="s">
        <v>419</v>
      </c>
      <c r="C40" s="5" t="s">
        <v>420</v>
      </c>
      <c r="D40" s="5" t="s">
        <v>421</v>
      </c>
      <c r="E40" s="5" t="s">
        <v>414</v>
      </c>
      <c r="F40" s="5">
        <v>8</v>
      </c>
      <c r="G40" s="5" t="s">
        <v>422</v>
      </c>
      <c r="H40" s="5" t="s">
        <v>398</v>
      </c>
    </row>
    <row r="41" spans="1:8">
      <c r="A41" s="5">
        <v>4</v>
      </c>
      <c r="B41" s="5" t="s">
        <v>423</v>
      </c>
      <c r="C41" s="5" t="s">
        <v>217</v>
      </c>
      <c r="D41" s="5" t="s">
        <v>424</v>
      </c>
      <c r="E41" s="5" t="s">
        <v>416</v>
      </c>
      <c r="F41" s="5">
        <v>5</v>
      </c>
      <c r="G41" s="5" t="s">
        <v>397</v>
      </c>
      <c r="H41" s="5" t="s">
        <v>398</v>
      </c>
    </row>
    <row r="42" spans="1:8">
      <c r="A42" s="5">
        <v>4</v>
      </c>
      <c r="B42" s="5" t="s">
        <v>425</v>
      </c>
      <c r="C42" s="5" t="s">
        <v>417</v>
      </c>
      <c r="D42" s="5" t="s">
        <v>426</v>
      </c>
      <c r="E42" s="5" t="s">
        <v>416</v>
      </c>
      <c r="F42" s="5">
        <v>9</v>
      </c>
      <c r="G42" s="5" t="s">
        <v>397</v>
      </c>
      <c r="H42" s="5" t="s">
        <v>398</v>
      </c>
    </row>
    <row r="43" spans="1:8">
      <c r="A43" s="5">
        <v>4</v>
      </c>
      <c r="B43" s="5" t="s">
        <v>427</v>
      </c>
      <c r="C43" s="5" t="s">
        <v>217</v>
      </c>
      <c r="D43" s="5" t="s">
        <v>428</v>
      </c>
      <c r="E43" s="5" t="s">
        <v>423</v>
      </c>
      <c r="F43" s="5">
        <v>8</v>
      </c>
      <c r="G43" s="5" t="s">
        <v>422</v>
      </c>
      <c r="H43" s="5" t="s">
        <v>398</v>
      </c>
    </row>
    <row r="44" spans="1:8">
      <c r="A44" s="5">
        <v>4</v>
      </c>
      <c r="B44" s="5" t="s">
        <v>429</v>
      </c>
      <c r="C44" s="5" t="s">
        <v>430</v>
      </c>
      <c r="D44" s="5" t="s">
        <v>431</v>
      </c>
      <c r="E44" s="5" t="s">
        <v>432</v>
      </c>
      <c r="F44" s="5">
        <v>6</v>
      </c>
      <c r="G44" s="5" t="s">
        <v>397</v>
      </c>
      <c r="H44" s="5" t="s">
        <v>398</v>
      </c>
    </row>
    <row r="45" spans="1:8">
      <c r="A45" s="5">
        <v>4</v>
      </c>
      <c r="B45" s="5" t="s">
        <v>433</v>
      </c>
      <c r="C45" s="5" t="s">
        <v>282</v>
      </c>
      <c r="D45" s="5" t="s">
        <v>434</v>
      </c>
      <c r="E45" s="5" t="s">
        <v>435</v>
      </c>
      <c r="F45" s="5">
        <v>19</v>
      </c>
      <c r="G45" s="5" t="s">
        <v>422</v>
      </c>
      <c r="H45" s="5" t="s">
        <v>398</v>
      </c>
    </row>
    <row r="46" spans="1:8">
      <c r="A46" s="5">
        <v>4</v>
      </c>
      <c r="B46" s="5" t="s">
        <v>436</v>
      </c>
      <c r="C46" s="5" t="s">
        <v>208</v>
      </c>
      <c r="D46" s="5" t="s">
        <v>437</v>
      </c>
      <c r="E46" s="5" t="s">
        <v>433</v>
      </c>
      <c r="F46" s="5">
        <v>9</v>
      </c>
      <c r="G46" s="5" t="s">
        <v>422</v>
      </c>
      <c r="H46" s="5" t="s">
        <v>398</v>
      </c>
    </row>
    <row r="47" spans="1:8">
      <c r="A47" s="5">
        <v>4</v>
      </c>
      <c r="B47" s="5" t="s">
        <v>438</v>
      </c>
      <c r="C47" s="5" t="s">
        <v>251</v>
      </c>
      <c r="D47" s="5" t="s">
        <v>439</v>
      </c>
      <c r="E47" s="5" t="s">
        <v>436</v>
      </c>
      <c r="F47" s="5">
        <v>5</v>
      </c>
      <c r="G47" s="5" t="s">
        <v>422</v>
      </c>
      <c r="H47" s="5" t="s">
        <v>398</v>
      </c>
    </row>
    <row r="48" spans="1:8">
      <c r="A48" s="5">
        <v>4</v>
      </c>
      <c r="B48" s="5" t="s">
        <v>440</v>
      </c>
      <c r="C48" s="5" t="s">
        <v>441</v>
      </c>
      <c r="D48" s="5" t="s">
        <v>442</v>
      </c>
      <c r="E48" s="5" t="s">
        <v>433</v>
      </c>
      <c r="F48" s="5">
        <v>3</v>
      </c>
      <c r="G48" s="5" t="s">
        <v>422</v>
      </c>
      <c r="H48" s="5" t="s">
        <v>398</v>
      </c>
    </row>
    <row r="49" spans="1:8">
      <c r="A49" s="5">
        <v>4</v>
      </c>
      <c r="B49" s="5" t="s">
        <v>443</v>
      </c>
      <c r="C49" s="5" t="s">
        <v>441</v>
      </c>
      <c r="D49" s="5" t="s">
        <v>444</v>
      </c>
      <c r="E49" s="5" t="s">
        <v>440</v>
      </c>
      <c r="F49" s="5">
        <v>3</v>
      </c>
      <c r="G49" s="5" t="s">
        <v>422</v>
      </c>
      <c r="H49" s="5" t="s">
        <v>398</v>
      </c>
    </row>
    <row r="50" spans="1:8">
      <c r="A50" s="5">
        <v>4</v>
      </c>
      <c r="B50" s="5" t="s">
        <v>445</v>
      </c>
      <c r="C50" s="5" t="s">
        <v>441</v>
      </c>
      <c r="D50" s="5" t="s">
        <v>446</v>
      </c>
      <c r="E50" s="5" t="s">
        <v>443</v>
      </c>
      <c r="F50" s="5">
        <v>3</v>
      </c>
      <c r="G50" s="5" t="s">
        <v>422</v>
      </c>
      <c r="H50" s="5" t="s">
        <v>398</v>
      </c>
    </row>
    <row r="51" spans="1:8">
      <c r="A51" s="5">
        <v>4</v>
      </c>
      <c r="B51" s="5" t="s">
        <v>447</v>
      </c>
      <c r="C51" s="5" t="s">
        <v>441</v>
      </c>
      <c r="D51" s="5" t="s">
        <v>448</v>
      </c>
      <c r="E51" s="5" t="s">
        <v>445</v>
      </c>
      <c r="F51" s="5">
        <v>3</v>
      </c>
      <c r="G51" s="5" t="s">
        <v>422</v>
      </c>
      <c r="H51" s="5" t="s">
        <v>398</v>
      </c>
    </row>
    <row r="52" spans="1:8">
      <c r="A52" s="5">
        <v>5</v>
      </c>
      <c r="B52" s="5" t="s">
        <v>408</v>
      </c>
      <c r="C52" s="5" t="s">
        <v>409</v>
      </c>
      <c r="D52" s="5" t="s">
        <v>410</v>
      </c>
      <c r="E52" s="5"/>
      <c r="F52" s="5">
        <v>3</v>
      </c>
      <c r="G52" s="5" t="s">
        <v>397</v>
      </c>
      <c r="H52" s="5" t="s">
        <v>398</v>
      </c>
    </row>
    <row r="53" spans="1:8">
      <c r="A53" s="5">
        <v>5</v>
      </c>
      <c r="B53" s="5" t="s">
        <v>411</v>
      </c>
      <c r="C53" s="5" t="s">
        <v>412</v>
      </c>
      <c r="D53" s="5" t="s">
        <v>413</v>
      </c>
      <c r="E53" s="5" t="s">
        <v>408</v>
      </c>
      <c r="F53" s="5">
        <v>4</v>
      </c>
      <c r="G53" s="5" t="s">
        <v>397</v>
      </c>
      <c r="H53" s="5" t="s">
        <v>398</v>
      </c>
    </row>
    <row r="54" spans="1:8">
      <c r="A54" s="5">
        <v>5</v>
      </c>
      <c r="B54" s="5" t="s">
        <v>414</v>
      </c>
      <c r="C54" s="5" t="s">
        <v>163</v>
      </c>
      <c r="D54" s="5" t="s">
        <v>415</v>
      </c>
      <c r="E54" s="5" t="s">
        <v>411</v>
      </c>
      <c r="F54" s="5">
        <v>4</v>
      </c>
      <c r="G54" s="5" t="s">
        <v>397</v>
      </c>
      <c r="H54" s="5" t="s">
        <v>398</v>
      </c>
    </row>
    <row r="55" spans="1:8">
      <c r="A55" s="5">
        <v>5</v>
      </c>
      <c r="B55" s="5" t="s">
        <v>416</v>
      </c>
      <c r="C55" s="5" t="s">
        <v>417</v>
      </c>
      <c r="D55" s="5" t="s">
        <v>418</v>
      </c>
      <c r="E55" s="5" t="s">
        <v>414</v>
      </c>
      <c r="F55" s="5">
        <v>7</v>
      </c>
      <c r="G55" s="5" t="s">
        <v>397</v>
      </c>
      <c r="H55" s="5" t="s">
        <v>398</v>
      </c>
    </row>
    <row r="56" spans="1:8">
      <c r="A56" s="5">
        <v>5</v>
      </c>
      <c r="B56" s="5" t="s">
        <v>419</v>
      </c>
      <c r="C56" s="5" t="s">
        <v>420</v>
      </c>
      <c r="D56" s="5" t="s">
        <v>421</v>
      </c>
      <c r="E56" s="5" t="s">
        <v>414</v>
      </c>
      <c r="F56" s="5">
        <v>8</v>
      </c>
      <c r="G56" s="5" t="s">
        <v>422</v>
      </c>
      <c r="H56" s="5" t="s">
        <v>398</v>
      </c>
    </row>
    <row r="57" spans="1:8">
      <c r="A57" s="5">
        <v>5</v>
      </c>
      <c r="B57" s="5" t="s">
        <v>423</v>
      </c>
      <c r="C57" s="5" t="s">
        <v>217</v>
      </c>
      <c r="D57" s="5" t="s">
        <v>424</v>
      </c>
      <c r="E57" s="5" t="s">
        <v>416</v>
      </c>
      <c r="F57" s="5">
        <v>5</v>
      </c>
      <c r="G57" s="5" t="s">
        <v>397</v>
      </c>
      <c r="H57" s="5" t="s">
        <v>398</v>
      </c>
    </row>
    <row r="58" spans="1:8">
      <c r="A58" s="5">
        <v>5</v>
      </c>
      <c r="B58" s="5" t="s">
        <v>425</v>
      </c>
      <c r="C58" s="5" t="s">
        <v>417</v>
      </c>
      <c r="D58" s="5" t="s">
        <v>426</v>
      </c>
      <c r="E58" s="5" t="s">
        <v>416</v>
      </c>
      <c r="F58" s="5">
        <v>9</v>
      </c>
      <c r="G58" s="5" t="s">
        <v>397</v>
      </c>
      <c r="H58" s="5" t="s">
        <v>398</v>
      </c>
    </row>
    <row r="59" spans="1:8">
      <c r="A59" s="5">
        <v>5</v>
      </c>
      <c r="B59" s="5" t="s">
        <v>427</v>
      </c>
      <c r="C59" s="5" t="s">
        <v>217</v>
      </c>
      <c r="D59" s="5" t="s">
        <v>428</v>
      </c>
      <c r="E59" s="5" t="s">
        <v>423</v>
      </c>
      <c r="F59" s="5">
        <v>8</v>
      </c>
      <c r="G59" s="5" t="s">
        <v>422</v>
      </c>
      <c r="H59" s="5" t="s">
        <v>398</v>
      </c>
    </row>
    <row r="60" spans="1:8">
      <c r="A60" s="5">
        <v>5</v>
      </c>
      <c r="B60" s="5" t="s">
        <v>429</v>
      </c>
      <c r="C60" s="5" t="s">
        <v>430</v>
      </c>
      <c r="D60" s="5" t="s">
        <v>431</v>
      </c>
      <c r="E60" s="5" t="s">
        <v>432</v>
      </c>
      <c r="F60" s="5">
        <v>6</v>
      </c>
      <c r="G60" s="5" t="s">
        <v>397</v>
      </c>
      <c r="H60" s="5" t="s">
        <v>398</v>
      </c>
    </row>
    <row r="61" spans="1:8">
      <c r="A61" s="5">
        <v>5</v>
      </c>
      <c r="B61" s="5" t="s">
        <v>433</v>
      </c>
      <c r="C61" s="5" t="s">
        <v>282</v>
      </c>
      <c r="D61" s="5" t="s">
        <v>434</v>
      </c>
      <c r="E61" s="5" t="s">
        <v>435</v>
      </c>
      <c r="F61" s="5">
        <v>19</v>
      </c>
      <c r="G61" s="5" t="s">
        <v>422</v>
      </c>
      <c r="H61" s="5" t="s">
        <v>398</v>
      </c>
    </row>
    <row r="62" spans="1:8">
      <c r="A62" s="5">
        <v>5</v>
      </c>
      <c r="B62" s="5" t="s">
        <v>436</v>
      </c>
      <c r="C62" s="5" t="s">
        <v>208</v>
      </c>
      <c r="D62" s="5" t="s">
        <v>437</v>
      </c>
      <c r="E62" s="5" t="s">
        <v>433</v>
      </c>
      <c r="F62" s="5">
        <v>9</v>
      </c>
      <c r="G62" s="5" t="s">
        <v>422</v>
      </c>
      <c r="H62" s="5" t="s">
        <v>398</v>
      </c>
    </row>
    <row r="63" spans="1:8">
      <c r="A63" s="5">
        <v>5</v>
      </c>
      <c r="B63" s="5" t="s">
        <v>438</v>
      </c>
      <c r="C63" s="5" t="s">
        <v>251</v>
      </c>
      <c r="D63" s="5" t="s">
        <v>439</v>
      </c>
      <c r="E63" s="5" t="s">
        <v>436</v>
      </c>
      <c r="F63" s="5">
        <v>5</v>
      </c>
      <c r="G63" s="5" t="s">
        <v>422</v>
      </c>
      <c r="H63" s="5" t="s">
        <v>398</v>
      </c>
    </row>
    <row r="64" spans="1:8">
      <c r="A64" s="5">
        <v>5</v>
      </c>
      <c r="B64" s="5" t="s">
        <v>440</v>
      </c>
      <c r="C64" s="5" t="s">
        <v>441</v>
      </c>
      <c r="D64" s="5" t="s">
        <v>442</v>
      </c>
      <c r="E64" s="5" t="s">
        <v>433</v>
      </c>
      <c r="F64" s="5">
        <v>3</v>
      </c>
      <c r="G64" s="5" t="s">
        <v>422</v>
      </c>
      <c r="H64" s="5" t="s">
        <v>398</v>
      </c>
    </row>
    <row r="65" spans="1:8">
      <c r="A65" s="5">
        <v>5</v>
      </c>
      <c r="B65" s="5" t="s">
        <v>449</v>
      </c>
      <c r="C65" s="5" t="s">
        <v>390</v>
      </c>
      <c r="D65" s="5" t="s">
        <v>450</v>
      </c>
      <c r="E65" s="5" t="s">
        <v>433</v>
      </c>
      <c r="F65" s="5">
        <v>1</v>
      </c>
      <c r="G65" s="5" t="s">
        <v>422</v>
      </c>
      <c r="H65" s="5" t="s">
        <v>398</v>
      </c>
    </row>
    <row r="66" spans="1:8">
      <c r="A66" s="5">
        <v>5</v>
      </c>
      <c r="B66" s="5" t="s">
        <v>451</v>
      </c>
      <c r="C66" s="5" t="s">
        <v>390</v>
      </c>
      <c r="D66" s="5" t="s">
        <v>452</v>
      </c>
      <c r="E66" s="5" t="s">
        <v>449</v>
      </c>
      <c r="F66" s="5">
        <v>2</v>
      </c>
      <c r="G66" s="5" t="s">
        <v>422</v>
      </c>
      <c r="H66" s="5" t="s">
        <v>398</v>
      </c>
    </row>
    <row r="67" spans="1:8">
      <c r="A67" s="5">
        <v>5</v>
      </c>
      <c r="B67" s="5" t="s">
        <v>453</v>
      </c>
      <c r="C67" s="5" t="s">
        <v>390</v>
      </c>
      <c r="D67" s="5" t="s">
        <v>454</v>
      </c>
      <c r="E67" s="5" t="s">
        <v>451</v>
      </c>
      <c r="F67" s="5">
        <v>1</v>
      </c>
      <c r="G67" s="5" t="s">
        <v>422</v>
      </c>
      <c r="H67" s="5" t="s">
        <v>398</v>
      </c>
    </row>
    <row r="68" spans="1:8">
      <c r="A68" s="5">
        <v>5</v>
      </c>
      <c r="B68" s="5" t="s">
        <v>443</v>
      </c>
      <c r="C68" s="5" t="s">
        <v>441</v>
      </c>
      <c r="D68" s="5" t="s">
        <v>444</v>
      </c>
      <c r="E68" s="5" t="s">
        <v>440</v>
      </c>
      <c r="F68" s="5">
        <v>3</v>
      </c>
      <c r="G68" s="5" t="s">
        <v>422</v>
      </c>
      <c r="H68" s="5" t="s">
        <v>398</v>
      </c>
    </row>
    <row r="69" spans="1:8">
      <c r="A69" s="5">
        <v>5</v>
      </c>
      <c r="B69" s="5" t="s">
        <v>455</v>
      </c>
      <c r="C69" s="5" t="s">
        <v>390</v>
      </c>
      <c r="D69" s="5" t="s">
        <v>456</v>
      </c>
      <c r="E69" s="5" t="s">
        <v>440</v>
      </c>
      <c r="F69" s="5">
        <v>1</v>
      </c>
      <c r="G69" s="5" t="s">
        <v>422</v>
      </c>
      <c r="H69" s="5" t="s">
        <v>398</v>
      </c>
    </row>
    <row r="70" spans="1:8">
      <c r="A70" s="5">
        <v>5</v>
      </c>
      <c r="B70" s="5" t="s">
        <v>457</v>
      </c>
      <c r="C70" s="5" t="s">
        <v>390</v>
      </c>
      <c r="D70" s="5" t="s">
        <v>458</v>
      </c>
      <c r="E70" s="5" t="s">
        <v>455</v>
      </c>
      <c r="F70" s="5">
        <v>2</v>
      </c>
      <c r="G70" s="5" t="s">
        <v>422</v>
      </c>
      <c r="H70" s="5" t="s">
        <v>398</v>
      </c>
    </row>
    <row r="71" spans="1:8">
      <c r="A71" s="5">
        <v>5</v>
      </c>
      <c r="B71" s="5" t="s">
        <v>459</v>
      </c>
      <c r="C71" s="5" t="s">
        <v>390</v>
      </c>
      <c r="D71" s="5" t="s">
        <v>460</v>
      </c>
      <c r="E71" s="5" t="s">
        <v>457</v>
      </c>
      <c r="F71" s="5">
        <v>1</v>
      </c>
      <c r="G71" s="5" t="s">
        <v>422</v>
      </c>
      <c r="H71" s="5" t="s">
        <v>398</v>
      </c>
    </row>
    <row r="72" spans="1:8">
      <c r="A72" s="5">
        <v>5</v>
      </c>
      <c r="B72" s="5" t="s">
        <v>445</v>
      </c>
      <c r="C72" s="5" t="s">
        <v>441</v>
      </c>
      <c r="D72" s="5" t="s">
        <v>446</v>
      </c>
      <c r="E72" s="5" t="s">
        <v>443</v>
      </c>
      <c r="F72" s="5">
        <v>3</v>
      </c>
      <c r="G72" s="5" t="s">
        <v>422</v>
      </c>
      <c r="H72" s="5" t="s">
        <v>398</v>
      </c>
    </row>
    <row r="73" spans="1:8">
      <c r="A73" s="5">
        <v>5</v>
      </c>
      <c r="B73" s="5" t="s">
        <v>461</v>
      </c>
      <c r="C73" s="5" t="s">
        <v>390</v>
      </c>
      <c r="D73" s="5" t="s">
        <v>462</v>
      </c>
      <c r="E73" s="5" t="s">
        <v>443</v>
      </c>
      <c r="F73" s="5">
        <v>1</v>
      </c>
      <c r="G73" s="5" t="s">
        <v>422</v>
      </c>
      <c r="H73" s="5" t="s">
        <v>398</v>
      </c>
    </row>
    <row r="74" spans="1:8">
      <c r="A74" s="5">
        <v>5</v>
      </c>
      <c r="B74" s="5" t="s">
        <v>463</v>
      </c>
      <c r="C74" s="5" t="s">
        <v>390</v>
      </c>
      <c r="D74" s="5" t="s">
        <v>464</v>
      </c>
      <c r="E74" s="5" t="s">
        <v>461</v>
      </c>
      <c r="F74" s="5">
        <v>2</v>
      </c>
      <c r="G74" s="5" t="s">
        <v>422</v>
      </c>
      <c r="H74" s="5" t="s">
        <v>398</v>
      </c>
    </row>
    <row r="75" spans="1:8">
      <c r="A75" s="5">
        <v>5</v>
      </c>
      <c r="B75" s="5" t="s">
        <v>465</v>
      </c>
      <c r="C75" s="5" t="s">
        <v>390</v>
      </c>
      <c r="D75" s="5" t="s">
        <v>466</v>
      </c>
      <c r="E75" s="5" t="s">
        <v>463</v>
      </c>
      <c r="F75" s="5">
        <v>1</v>
      </c>
      <c r="G75" s="5" t="s">
        <v>422</v>
      </c>
      <c r="H75" s="5" t="s">
        <v>398</v>
      </c>
    </row>
    <row r="76" spans="1:8">
      <c r="A76" s="5">
        <v>5</v>
      </c>
      <c r="B76" s="5" t="s">
        <v>447</v>
      </c>
      <c r="C76" s="5" t="s">
        <v>441</v>
      </c>
      <c r="D76" s="5" t="s">
        <v>448</v>
      </c>
      <c r="E76" s="5" t="s">
        <v>445</v>
      </c>
      <c r="F76" s="5">
        <v>3</v>
      </c>
      <c r="G76" s="5" t="s">
        <v>422</v>
      </c>
      <c r="H76" s="5" t="s">
        <v>398</v>
      </c>
    </row>
    <row r="77" spans="1:8">
      <c r="A77" s="5">
        <v>5</v>
      </c>
      <c r="B77" s="5" t="s">
        <v>467</v>
      </c>
      <c r="C77" s="5" t="s">
        <v>390</v>
      </c>
      <c r="D77" s="5" t="s">
        <v>468</v>
      </c>
      <c r="E77" s="5" t="s">
        <v>445</v>
      </c>
      <c r="F77" s="5">
        <v>1</v>
      </c>
      <c r="G77" s="5" t="s">
        <v>422</v>
      </c>
      <c r="H77" s="5" t="s">
        <v>398</v>
      </c>
    </row>
    <row r="78" spans="1:8">
      <c r="A78" s="5">
        <v>5</v>
      </c>
      <c r="B78" s="5" t="s">
        <v>469</v>
      </c>
      <c r="C78" s="5" t="s">
        <v>390</v>
      </c>
      <c r="D78" s="5" t="s">
        <v>470</v>
      </c>
      <c r="E78" s="5" t="s">
        <v>467</v>
      </c>
      <c r="F78" s="5">
        <v>2</v>
      </c>
      <c r="G78" s="5" t="s">
        <v>422</v>
      </c>
      <c r="H78" s="5" t="s">
        <v>398</v>
      </c>
    </row>
    <row r="79" spans="1:8">
      <c r="A79" s="5">
        <v>5</v>
      </c>
      <c r="B79" s="5" t="s">
        <v>471</v>
      </c>
      <c r="C79" s="5" t="s">
        <v>390</v>
      </c>
      <c r="D79" s="5" t="s">
        <v>472</v>
      </c>
      <c r="E79" s="5" t="s">
        <v>469</v>
      </c>
      <c r="F79" s="5">
        <v>1</v>
      </c>
      <c r="G79" s="5" t="s">
        <v>422</v>
      </c>
      <c r="H79" s="5" t="s">
        <v>398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/>
  </sheetViews>
  <sheetFormatPr defaultRowHeight="15"/>
  <cols>
    <col min="1" max="1" width="24.7109375" customWidth="1"/>
    <col min="2" max="2" width="92.7109375" customWidth="1"/>
  </cols>
  <sheetData>
    <row r="1" spans="1:2">
      <c r="A1" s="1" t="s">
        <v>473</v>
      </c>
      <c r="B1" s="1"/>
    </row>
    <row r="4" spans="1:2">
      <c r="A4" s="7" t="s">
        <v>474</v>
      </c>
      <c r="B4" s="7" t="s">
        <v>475</v>
      </c>
    </row>
    <row r="5" spans="1:2">
      <c r="A5" s="5" t="s">
        <v>30</v>
      </c>
      <c r="B5" s="5" t="s">
        <v>42</v>
      </c>
    </row>
    <row r="6" spans="1:2">
      <c r="A6" s="5" t="s">
        <v>476</v>
      </c>
      <c r="B6" s="5" t="s">
        <v>477</v>
      </c>
    </row>
    <row r="7" spans="1:2">
      <c r="A7" s="5" t="s">
        <v>478</v>
      </c>
      <c r="B7" s="5" t="s">
        <v>479</v>
      </c>
    </row>
    <row r="8" spans="1:2">
      <c r="A8" s="5" t="s">
        <v>480</v>
      </c>
      <c r="B8" s="5" t="s">
        <v>481</v>
      </c>
    </row>
    <row r="9" spans="1:2">
      <c r="A9" s="5" t="s">
        <v>482</v>
      </c>
      <c r="B9" s="5" t="s">
        <v>483</v>
      </c>
    </row>
    <row r="10" spans="1:2">
      <c r="A10" s="5" t="s">
        <v>484</v>
      </c>
      <c r="B10" s="5">
        <v>3</v>
      </c>
    </row>
    <row r="11" spans="1:2">
      <c r="A11" s="5" t="s">
        <v>485</v>
      </c>
      <c r="B11" s="5">
        <v>5</v>
      </c>
    </row>
    <row r="12" spans="1:2">
      <c r="A12" s="5" t="s">
        <v>486</v>
      </c>
      <c r="B12" s="5" t="s">
        <v>487</v>
      </c>
    </row>
    <row r="13" spans="1:2">
      <c r="A13" s="5" t="s">
        <v>488</v>
      </c>
      <c r="B13" s="5" t="s">
        <v>489</v>
      </c>
    </row>
    <row r="14" spans="1:2">
      <c r="A14" s="5" t="s">
        <v>490</v>
      </c>
      <c r="B14" s="5" t="s">
        <v>491</v>
      </c>
    </row>
    <row r="15" spans="1:2">
      <c r="A15" s="5" t="s">
        <v>492</v>
      </c>
      <c r="B15" s="5" t="s">
        <v>493</v>
      </c>
    </row>
    <row r="16" spans="1:2">
      <c r="A16" s="5" t="s">
        <v>494</v>
      </c>
      <c r="B16" s="5" t="s">
        <v>495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Control Centre</vt:lpstr>
      <vt:lpstr>01 Scenario Comparison</vt:lpstr>
      <vt:lpstr>02 Cost Selected</vt:lpstr>
      <vt:lpstr>03 Cost All Classes</vt:lpstr>
      <vt:lpstr>04 Risk Register</vt:lpstr>
      <vt:lpstr>05 QCRA QSRA Curves</vt:lpstr>
      <vt:lpstr>06 Tornado Drivers</vt:lpstr>
      <vt:lpstr>07 Schedule Levels</vt:lpstr>
      <vt:lpstr>08 Basis +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