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sk Control Centre" sheetId="1" r:id="rId1"/>
    <sheet name="Full Risk Register" sheetId="2" r:id="rId2"/>
    <sheet name="QCRA Tornado" sheetId="3" r:id="rId3"/>
    <sheet name="QSRA Tornado" sheetId="4" r:id="rId4"/>
  </sheets>
  <calcPr calcId="124519" fullCalcOnLoad="1"/>
</workbook>
</file>

<file path=xl/sharedStrings.xml><?xml version="1.0" encoding="utf-8"?>
<sst xmlns="http://schemas.openxmlformats.org/spreadsheetml/2006/main" count="473" uniqueCount="244">
  <si>
    <t>CASEY v56 RISK CONTROL CENTRE — FASTER SCENARIO</t>
  </si>
  <si>
    <t>Top risks by combined cost/schedule exposure</t>
  </si>
  <si>
    <t>ID</t>
  </si>
  <si>
    <t>Risk</t>
  </si>
  <si>
    <t>Likelihood</t>
  </si>
  <si>
    <t>Cost EMV BN</t>
  </si>
  <si>
    <t>Schedule EMV Days</t>
  </si>
  <si>
    <t>Owner</t>
  </si>
  <si>
    <t>Action</t>
  </si>
  <si>
    <t>R-001</t>
  </si>
  <si>
    <t>Scope growth</t>
  </si>
  <si>
    <t>Project Director</t>
  </si>
  <si>
    <t>Freeze scope baseline, change board, value gates, client decision log</t>
  </si>
  <si>
    <t>R-004</t>
  </si>
  <si>
    <t>Design maturity gap</t>
  </si>
  <si>
    <t>Design Manager</t>
  </si>
  <si>
    <t>Design maturity gates, independent review, assumption register</t>
  </si>
  <si>
    <t>R-015</t>
  </si>
  <si>
    <t>Funding / approval gate delay</t>
  </si>
  <si>
    <t>Sponsor</t>
  </si>
  <si>
    <t>Approval roadmap and early board papers</t>
  </si>
  <si>
    <t>R-022</t>
  </si>
  <si>
    <t>Regulatory assurance delay</t>
  </si>
  <si>
    <t>Consents Lead</t>
  </si>
  <si>
    <t>Regulatory roadmap and early engagement</t>
  </si>
  <si>
    <t>R-A01</t>
  </si>
  <si>
    <t>Operational phasing disruption</t>
  </si>
  <si>
    <t>ORAT Lead</t>
  </si>
  <si>
    <t>Phasing simulation, possession plan, airport ops integration board</t>
  </si>
  <si>
    <t>R-008</t>
  </si>
  <si>
    <t>Interface misalignment</t>
  </si>
  <si>
    <t>Integration Manager</t>
  </si>
  <si>
    <t>Interface control documents, weekly interface board, accountable owners</t>
  </si>
  <si>
    <t>R-005</t>
  </si>
  <si>
    <t>Supply chain delay</t>
  </si>
  <si>
    <t>Procurement Lead</t>
  </si>
  <si>
    <t>Alternate suppliers, early orders, expediting, framework options</t>
  </si>
  <si>
    <t>R-002</t>
  </si>
  <si>
    <t>Market escalation</t>
  </si>
  <si>
    <t>Commercial Lead</t>
  </si>
  <si>
    <t>Early procurement, index-linked allowances, market testing, FX strategy</t>
  </si>
  <si>
    <t>R-A02</t>
  </si>
  <si>
    <t>Baggage / security systems integration</t>
  </si>
  <si>
    <t>Systems Lead</t>
  </si>
  <si>
    <t>Factory acceptance testing, integration lab, ORAT dry-runs</t>
  </si>
  <si>
    <t>R-023</t>
  </si>
  <si>
    <t>Procurement strategy misalignment</t>
  </si>
  <si>
    <t>Market sounding and package strategy review</t>
  </si>
  <si>
    <t>FULL RISK REGISTER — NO ZERO LIKELIHOOD, FULL CAUSE / EVENT / IMPACT</t>
  </si>
  <si>
    <t>Category</t>
  </si>
  <si>
    <t>Cause</t>
  </si>
  <si>
    <t>Event</t>
  </si>
  <si>
    <t>Impact</t>
  </si>
  <si>
    <t>Mitigation</t>
  </si>
  <si>
    <t>Trigger</t>
  </si>
  <si>
    <t>Cost O BN</t>
  </si>
  <si>
    <t>Cost ML BN</t>
  </si>
  <si>
    <t>Cost P BN</t>
  </si>
  <si>
    <t>Schedule O Days</t>
  </si>
  <si>
    <t>Schedule ML Days</t>
  </si>
  <si>
    <t>Schedule P Days</t>
  </si>
  <si>
    <t>Status</t>
  </si>
  <si>
    <t>Scope</t>
  </si>
  <si>
    <t>Ambiguous requirements, immature scope freeze and late stakeholder changes</t>
  </si>
  <si>
    <t>Approved scope expands after estimate freeze</t>
  </si>
  <si>
    <t>Additional quantities, redesign, rework, procurement churn and board contingency drawdown</t>
  </si>
  <si>
    <t>Scope change rate exceeds 2% of package value</t>
  </si>
  <si>
    <t>Open</t>
  </si>
  <si>
    <t>Technical</t>
  </si>
  <si>
    <t>Estimate is based on immature design, incomplete surveys or unresolved interfaces</t>
  </si>
  <si>
    <t>Design basis changes during detailed design</t>
  </si>
  <si>
    <t>Cost growth, quantity movement, rework and schedule resequencing</t>
  </si>
  <si>
    <t>Design deliverables miss maturity gate</t>
  </si>
  <si>
    <t>Sector</t>
  </si>
  <si>
    <t>Investment approvals or staged funding gates not aligned with procurement</t>
  </si>
  <si>
    <t>Capital release is delayed</t>
  </si>
  <si>
    <t>Procurement missed windows and schedule slippage</t>
  </si>
  <si>
    <t>Approval date slips</t>
  </si>
  <si>
    <t>Regulator or authority review cycle not fully allowed</t>
  </si>
  <si>
    <t>Approval takes longer than baseline</t>
  </si>
  <si>
    <t>Critical path delay and extra assurance cost</t>
  </si>
  <si>
    <t>Submission returned</t>
  </si>
  <si>
    <t>Operations</t>
  </si>
  <si>
    <t>Works in or near live airport operations constrain access and sequencing</t>
  </si>
  <si>
    <t>Operational restrictions reduce productive windows</t>
  </si>
  <si>
    <t>Delay, night-work premiums, stakeholder disruption and ORAT pressure</t>
  </si>
  <si>
    <t>Possession windows rejected</t>
  </si>
  <si>
    <t>Integration</t>
  </si>
  <si>
    <t>Multiple contractors, unclear interface ownership or late design coordination</t>
  </si>
  <si>
    <t>Package interfaces do not align during installation/integration</t>
  </si>
  <si>
    <t>Rework, claims, delay and fragmented accountability</t>
  </si>
  <si>
    <t>Interface actions overdue</t>
  </si>
  <si>
    <t>Procurement</t>
  </si>
  <si>
    <t>Long-lead equipment, constrained suppliers or late procurement release</t>
  </si>
  <si>
    <t>Supplier promise dates move right</t>
  </si>
  <si>
    <t>Delayed installation, critical path movement and acceleration cost</t>
  </si>
  <si>
    <t>Supplier promise date slips</t>
  </si>
  <si>
    <t>Commercial</t>
  </si>
  <si>
    <t>Supplier market tightness, inflation, FX and long procurement window</t>
  </si>
  <si>
    <t>Rates exceed assumed escalation profile</t>
  </si>
  <si>
    <t>P50 cost becomes understated; commercial approvals or procurement strategy may need reset</t>
  </si>
  <si>
    <t>Index exceeds allowance by 3%</t>
  </si>
  <si>
    <t>Systems</t>
  </si>
  <si>
    <t>Complex passenger systems integration and vendor interfaces uncertain</t>
  </si>
  <si>
    <t>Integrated airport systems do not pass readiness testing</t>
  </si>
  <si>
    <t>Commissioning delay, passenger disruption and late operational readiness</t>
  </si>
  <si>
    <t>FAT/SAT defect trend above threshold</t>
  </si>
  <si>
    <t>Package strategy does not match market capacity or risk transfer</t>
  </si>
  <si>
    <t>Tenders return above budget or fail</t>
  </si>
  <si>
    <t>Retendering, cost growth and schedule slip</t>
  </si>
  <si>
    <t>Low bidder response</t>
  </si>
  <si>
    <t>R-007</t>
  </si>
  <si>
    <t>Handover</t>
  </si>
  <si>
    <t>Commissioning delay</t>
  </si>
  <si>
    <t>Incomplete readiness, software integration issues or defects during testing</t>
  </si>
  <si>
    <t>Systems fail tests or require repeated commissioning cycles</t>
  </si>
  <si>
    <t>Delayed handover, operational readiness slippage and liquidated damages exposure</t>
  </si>
  <si>
    <t>Commissioning Lead</t>
  </si>
  <si>
    <t>Commissioning readiness plan, early test packs, digital systems integration</t>
  </si>
  <si>
    <t>Test failures trend upward</t>
  </si>
  <si>
    <t>R-014</t>
  </si>
  <si>
    <t>Stakeholder change</t>
  </si>
  <si>
    <t>Sponsor, operator or authority requirements evolve late</t>
  </si>
  <si>
    <t>Requirements change after baseline freeze</t>
  </si>
  <si>
    <t>Scope growth, redesign and approval delays</t>
  </si>
  <si>
    <t>Decision log, change board and stakeholder gates</t>
  </si>
  <si>
    <t>Late decision count increases</t>
  </si>
  <si>
    <t>R-021</t>
  </si>
  <si>
    <t>Utilities diversion / enabling risk</t>
  </si>
  <si>
    <t>Unknown utilities, access or enabling works underestimated</t>
  </si>
  <si>
    <t>Enabling works expand or delay critical start</t>
  </si>
  <si>
    <t>Cost growth, access delay and resequencing</t>
  </si>
  <si>
    <t>Enabling Works Lead</t>
  </si>
  <si>
    <t>Surveys, trial pits and early utility agreements</t>
  </si>
  <si>
    <t>Unknown utilities found</t>
  </si>
  <si>
    <t>R-012</t>
  </si>
  <si>
    <t>Cyber / controls integration</t>
  </si>
  <si>
    <t>Operational technology and control systems interfaces immature</t>
  </si>
  <si>
    <t>Controls integration fails testing</t>
  </si>
  <si>
    <t>Commissioning delay, resilience issue and operational risk</t>
  </si>
  <si>
    <t>Early cyber review, FAT/SAT plan, integration lab</t>
  </si>
  <si>
    <t>Controls defect trend increases</t>
  </si>
  <si>
    <t>R-006</t>
  </si>
  <si>
    <t>Delivery</t>
  </si>
  <si>
    <t>Productivity underperformance</t>
  </si>
  <si>
    <t>Access constraints, poor sequencing, labour scarcity or learning curve</t>
  </si>
  <si>
    <t>Actual production rates underperform plan</t>
  </si>
  <si>
    <t>Extended duration, increased preliminaries and loss of float</t>
  </si>
  <si>
    <t>Delivery Lead</t>
  </si>
  <si>
    <t>Package productivity controls, daily planning, earned value cadence</t>
  </si>
  <si>
    <t>SPI/CPI deteriorates for two reporting periods</t>
  </si>
  <si>
    <t>R-020</t>
  </si>
  <si>
    <t>Design change after procurement</t>
  </si>
  <si>
    <t>Procurement released before design maturity is sufficient</t>
  </si>
  <si>
    <t>Vendor packages require change</t>
  </si>
  <si>
    <t>Variation cost, rework and programme delay</t>
  </si>
  <si>
    <t>Design freeze gates and change impact board</t>
  </si>
  <si>
    <t>IFC maturity below gate</t>
  </si>
  <si>
    <t>R-013</t>
  </si>
  <si>
    <t>Weather / environmental disruption</t>
  </si>
  <si>
    <t>Extreme weather, environmental windows or site constraints not fully allowed</t>
  </si>
  <si>
    <t>Workface access or productivity is disrupted</t>
  </si>
  <si>
    <t>Delay, access cost and resequencing</t>
  </si>
  <si>
    <t>Construction Manager</t>
  </si>
  <si>
    <t>Weather calendars, contingency workfronts, protection strategy</t>
  </si>
  <si>
    <t>Weather downtime exceeds allowance</t>
  </si>
  <si>
    <t>R-003</t>
  </si>
  <si>
    <t>Regulatory</t>
  </si>
  <si>
    <t>Permits / approvals delay</t>
  </si>
  <si>
    <t>Authority process, stakeholder objections or incomplete submissions</t>
  </si>
  <si>
    <t>Consent milestone slips beyond baseline</t>
  </si>
  <si>
    <t>Critical path delay, extended preliminaries and potential redesign conditions</t>
  </si>
  <si>
    <t>Authority plan, consent tracker, early submissions, stakeholder map</t>
  </si>
  <si>
    <t>Consent milestone slips by 30 days</t>
  </si>
  <si>
    <t>R-011</t>
  </si>
  <si>
    <t>Quality failure / rework</t>
  </si>
  <si>
    <t>Installation quality, vendor QA or inspection regime below need</t>
  </si>
  <si>
    <t>Inspection failure triggers rework</t>
  </si>
  <si>
    <t>Rework cost, schedule delay and confidence loss</t>
  </si>
  <si>
    <t>Quality Manager</t>
  </si>
  <si>
    <t>ITPs, hold points, vendor QA, right-first-time reviews</t>
  </si>
  <si>
    <t>NCR trend increases</t>
  </si>
  <si>
    <t>R-019</t>
  </si>
  <si>
    <t>Supply chain insolvency</t>
  </si>
  <si>
    <t>Tier 2/3 financial health is unknown or weak</t>
  </si>
  <si>
    <t>Critical supplier fails or cannot perform</t>
  </si>
  <si>
    <t>Replacement cost, procurement delay and claims exposure</t>
  </si>
  <si>
    <t>Financial checks, dual sourcing, step-in rights</t>
  </si>
  <si>
    <t>Supplier credit alert</t>
  </si>
  <si>
    <t>R-010</t>
  </si>
  <si>
    <t>Resource availability</t>
  </si>
  <si>
    <t>Labour, specialist supervisors or commissioning teams constrained</t>
  </si>
  <si>
    <t>Required resources are unavailable when planned</t>
  </si>
  <si>
    <t>Productivity loss, resequencing and higher preliminaries</t>
  </si>
  <si>
    <t>Resource loading, framework call-offs and labour strategy</t>
  </si>
  <si>
    <t>Resource histogram red flag</t>
  </si>
  <si>
    <t>R-017</t>
  </si>
  <si>
    <t>Data / estimate basis weakness</t>
  </si>
  <si>
    <t>Estimate source data, quantities or benchmarks are incomplete</t>
  </si>
  <si>
    <t>Baseline cannot be defended under challenge</t>
  </si>
  <si>
    <t>Confidence reduction and rework of cost plan</t>
  </si>
  <si>
    <t>Cost Lead</t>
  </si>
  <si>
    <t>Assumption register, benchmark evidence, quantity validation</t>
  </si>
  <si>
    <t>Unknown allowance exceeds threshold</t>
  </si>
  <si>
    <t>R-018</t>
  </si>
  <si>
    <t>Interface ownership gap</t>
  </si>
  <si>
    <t>RACI and package boundaries are unclear across packages</t>
  </si>
  <si>
    <t>Interface issue has no accountable owner</t>
  </si>
  <si>
    <t>Delay, claims and fragmented accountability</t>
  </si>
  <si>
    <t>Interface control documents and owner matrix</t>
  </si>
  <si>
    <t>R-025</t>
  </si>
  <si>
    <t>Benefits realisation risk</t>
  </si>
  <si>
    <t>Commercial benefits rely on optimistic demand or ramp-up</t>
  </si>
  <si>
    <t>Ramp-up underperforms plan</t>
  </si>
  <si>
    <t>Revenue / value case weakens</t>
  </si>
  <si>
    <t>Benefits model validation and ramp-up sensitivity</t>
  </si>
  <si>
    <t>Demand evidence weak</t>
  </si>
  <si>
    <t>R-009</t>
  </si>
  <si>
    <t>Commercial claims escalation</t>
  </si>
  <si>
    <t>Contract ambiguity, late changes and fragmented accountability</t>
  </si>
  <si>
    <t>Claims submitted above allowance</t>
  </si>
  <si>
    <t>Commercial pressure, management distraction and increased outturn cost</t>
  </si>
  <si>
    <t>Tight change control and dispute avoidance board</t>
  </si>
  <si>
    <t>Claim volume exceeds baseline</t>
  </si>
  <si>
    <t>R-016</t>
  </si>
  <si>
    <t>Commissioning readiness gap</t>
  </si>
  <si>
    <t>Incomplete test packs, operational readiness or training gaps</t>
  </si>
  <si>
    <t>Commissioning starts without readiness</t>
  </si>
  <si>
    <t>Repeated tests, handover delay and operational risk</t>
  </si>
  <si>
    <t>Readiness dashboard, integrated test plan, ORAT</t>
  </si>
  <si>
    <t>Readiness score below threshold</t>
  </si>
  <si>
    <t>R-024</t>
  </si>
  <si>
    <t>Operational readiness shortfall</t>
  </si>
  <si>
    <t>Operating model, training or maintenance strategy immature</t>
  </si>
  <si>
    <t>Asset cannot enter service as planned</t>
  </si>
  <si>
    <t>Delayed opening and benefit deferral</t>
  </si>
  <si>
    <t>Operations Lead</t>
  </si>
  <si>
    <t>ORAT/readiness plan and service transition gate</t>
  </si>
  <si>
    <t>Readiness gate failed</t>
  </si>
  <si>
    <t>QCRA COST TORNADO</t>
  </si>
  <si>
    <t>Rank</t>
  </si>
  <si>
    <t>Driver</t>
  </si>
  <si>
    <t>Risk ID</t>
  </si>
  <si>
    <t>QSRA SCHEDULE TORNADO</t>
  </si>
</sst>
</file>

<file path=xl/styles.xml><?xml version="1.0" encoding="utf-8"?>
<styleSheet xmlns="http://schemas.openxmlformats.org/spreadsheetml/2006/main">
  <numFmts count="1">
    <numFmt numFmtId="164" formatCode="0%"/>
  </numFmts>
  <fonts count="4">
    <font>
      <sz val="11"/>
      <color theme="1"/>
      <name val="Calibri"/>
      <family val="2"/>
      <scheme val="minor"/>
    </font>
    <font>
      <b/>
      <sz val="22"/>
      <color rgb="FFFFFFFF"/>
      <name val="Calibri"/>
      <family val="2"/>
      <scheme val="minor"/>
    </font>
    <font>
      <b/>
      <sz val="14"/>
      <color rgb="FF0B1F33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B1F33"/>
        <bgColor indexed="64"/>
      </patternFill>
    </fill>
    <fill>
      <patternFill patternType="solid">
        <fgColor rgb="FFEAF6FA"/>
        <bgColor indexed="64"/>
      </patternFill>
    </fill>
    <fill>
      <patternFill patternType="solid">
        <fgColor rgb="FF0070C0"/>
        <bgColor indexed="64"/>
      </patternFill>
    </fill>
  </fills>
  <borders count="3">
    <border>
      <left/>
      <right/>
      <top/>
      <bottom/>
      <diagonal/>
    </border>
    <border>
      <left style="thin">
        <color rgb="FFD9E2EA"/>
      </left>
      <right style="thin">
        <color rgb="FFD9E2EA"/>
      </right>
      <top style="thin">
        <color rgb="FFD9E2EA"/>
      </top>
      <bottom style="thin">
        <color rgb="FFD9E2EA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1" xfId="0" applyFont="1" applyFill="1" applyBorder="1"/>
    <xf numFmtId="0" fontId="3" fillId="4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Top Risk Cost Exposure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Cost EMV</c:v>
          </c:tx>
          <c:spPr>
            <a:solidFill>
              <a:srgbClr val="0070C0"/>
            </a:solidFill>
          </c:spPr>
          <c:cat>
            <c:strRef>
              <c:f>'Risk Control Centre'!$B$6:$B$15</c:f>
              <c:strCache>
                <c:ptCount val="10"/>
                <c:pt idx="0">
                  <c:v>Scope growth</c:v>
                </c:pt>
                <c:pt idx="1">
                  <c:v>Design maturity gap</c:v>
                </c:pt>
                <c:pt idx="2">
                  <c:v>Funding / approval gate delay</c:v>
                </c:pt>
                <c:pt idx="3">
                  <c:v>Regulatory assurance delay</c:v>
                </c:pt>
                <c:pt idx="4">
                  <c:v>Operational phasing disruption</c:v>
                </c:pt>
                <c:pt idx="5">
                  <c:v>Interface misalignment</c:v>
                </c:pt>
                <c:pt idx="6">
                  <c:v>Supply chain delay</c:v>
                </c:pt>
                <c:pt idx="7">
                  <c:v>Market escalation</c:v>
                </c:pt>
                <c:pt idx="8">
                  <c:v>Baggage / security systems integration</c:v>
                </c:pt>
                <c:pt idx="9">
                  <c:v>Procurement strategy misalignment</c:v>
                </c:pt>
              </c:strCache>
            </c:strRef>
          </c:cat>
          <c:val>
            <c:numRef>
              <c:f>'Risk Control Centre'!$D$6:$D$15</c:f>
              <c:numCache>
                <c:formatCode>General</c:formatCode>
                <c:ptCount val="10"/>
                <c:pt idx="0">
                  <c:v>0.153</c:v>
                </c:pt>
                <c:pt idx="1">
                  <c:v>0.163</c:v>
                </c:pt>
                <c:pt idx="2">
                  <c:v>0.08500000000000001</c:v>
                </c:pt>
                <c:pt idx="3">
                  <c:v>0.115</c:v>
                </c:pt>
                <c:pt idx="4">
                  <c:v>0.125</c:v>
                </c:pt>
                <c:pt idx="5">
                  <c:v>0.125</c:v>
                </c:pt>
                <c:pt idx="6">
                  <c:v>0.093</c:v>
                </c:pt>
                <c:pt idx="7">
                  <c:v>0.105</c:v>
                </c:pt>
                <c:pt idx="8">
                  <c:v>0.102</c:v>
                </c:pt>
                <c:pt idx="9">
                  <c:v>0.043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3</xdr:row>
      <xdr:rowOff>0</xdr:rowOff>
    </xdr:from>
    <xdr:to>
      <xdr:col>17</xdr:col>
      <xdr:colOff>228600</xdr:colOff>
      <xdr:row>19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5"/>
  <sheetViews>
    <sheetView showGridLines="0" tabSelected="1" workbookViewId="0">
      <pane ySplit="5" topLeftCell="A6" activePane="bottomLeft" state="frozen"/>
      <selection pane="bottomLeft"/>
    </sheetView>
  </sheetViews>
  <sheetFormatPr defaultRowHeight="15"/>
  <cols>
    <col min="1" max="1" width="10.7109375" customWidth="1"/>
    <col min="2" max="2" width="28.7109375" customWidth="1"/>
    <col min="3" max="3" width="12.7109375" customWidth="1"/>
    <col min="4" max="4" width="14.7109375" customWidth="1"/>
    <col min="5" max="5" width="16.7109375" customWidth="1"/>
    <col min="6" max="6" width="18.7109375" customWidth="1"/>
    <col min="7" max="7" width="55.7109375" customWidth="1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</row>
    <row r="5" spans="1:10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</row>
    <row r="6" spans="1:10">
      <c r="A6" s="4" t="s">
        <v>9</v>
      </c>
      <c r="B6" s="4" t="s">
        <v>10</v>
      </c>
      <c r="C6" s="4">
        <v>0.49</v>
      </c>
      <c r="D6" s="4">
        <v>0.153</v>
      </c>
      <c r="E6" s="4">
        <v>11.2</v>
      </c>
      <c r="F6" s="4" t="s">
        <v>11</v>
      </c>
      <c r="G6" s="4" t="s">
        <v>12</v>
      </c>
    </row>
    <row r="7" spans="1:10">
      <c r="A7" s="4" t="s">
        <v>13</v>
      </c>
      <c r="B7" s="4" t="s">
        <v>14</v>
      </c>
      <c r="C7" s="4">
        <v>0.44</v>
      </c>
      <c r="D7" s="4">
        <v>0.163</v>
      </c>
      <c r="E7" s="4">
        <v>12.2</v>
      </c>
      <c r="F7" s="4" t="s">
        <v>15</v>
      </c>
      <c r="G7" s="4" t="s">
        <v>16</v>
      </c>
    </row>
    <row r="8" spans="1:10">
      <c r="A8" s="4" t="s">
        <v>17</v>
      </c>
      <c r="B8" s="4" t="s">
        <v>18</v>
      </c>
      <c r="C8" s="4">
        <v>0.49</v>
      </c>
      <c r="D8" s="4">
        <v>0.08500000000000001</v>
      </c>
      <c r="E8" s="4">
        <v>26.1</v>
      </c>
      <c r="F8" s="4" t="s">
        <v>19</v>
      </c>
      <c r="G8" s="4" t="s">
        <v>20</v>
      </c>
    </row>
    <row r="9" spans="1:10">
      <c r="A9" s="4" t="s">
        <v>21</v>
      </c>
      <c r="B9" s="4" t="s">
        <v>22</v>
      </c>
      <c r="C9" s="4">
        <v>0.44</v>
      </c>
      <c r="D9" s="4">
        <v>0.115</v>
      </c>
      <c r="E9" s="4">
        <v>20.7</v>
      </c>
      <c r="F9" s="4" t="s">
        <v>23</v>
      </c>
      <c r="G9" s="4" t="s">
        <v>24</v>
      </c>
    </row>
    <row r="10" spans="1:10">
      <c r="A10" s="4" t="s">
        <v>25</v>
      </c>
      <c r="B10" s="4" t="s">
        <v>26</v>
      </c>
      <c r="C10" s="4">
        <v>0.49</v>
      </c>
      <c r="D10" s="4">
        <v>0.125</v>
      </c>
      <c r="E10" s="4">
        <v>8.699999999999999</v>
      </c>
      <c r="F10" s="4" t="s">
        <v>27</v>
      </c>
      <c r="G10" s="4" t="s">
        <v>28</v>
      </c>
    </row>
    <row r="11" spans="1:10">
      <c r="A11" s="4" t="s">
        <v>29</v>
      </c>
      <c r="B11" s="4" t="s">
        <v>30</v>
      </c>
      <c r="C11" s="4">
        <v>0.4</v>
      </c>
      <c r="D11" s="4">
        <v>0.125</v>
      </c>
      <c r="E11" s="4">
        <v>19.2</v>
      </c>
      <c r="F11" s="4" t="s">
        <v>31</v>
      </c>
      <c r="G11" s="4" t="s">
        <v>32</v>
      </c>
    </row>
    <row r="12" spans="1:10">
      <c r="A12" s="4" t="s">
        <v>33</v>
      </c>
      <c r="B12" s="4" t="s">
        <v>34</v>
      </c>
      <c r="C12" s="4">
        <v>0.47</v>
      </c>
      <c r="D12" s="4">
        <v>0.093</v>
      </c>
      <c r="E12" s="4">
        <v>17.8</v>
      </c>
      <c r="F12" s="4" t="s">
        <v>35</v>
      </c>
      <c r="G12" s="4" t="s">
        <v>36</v>
      </c>
    </row>
    <row r="13" spans="1:10">
      <c r="A13" s="4" t="s">
        <v>37</v>
      </c>
      <c r="B13" s="4" t="s">
        <v>38</v>
      </c>
      <c r="C13" s="4">
        <v>0.53</v>
      </c>
      <c r="D13" s="4">
        <v>0.105</v>
      </c>
      <c r="E13" s="4">
        <v>6.7</v>
      </c>
      <c r="F13" s="4" t="s">
        <v>39</v>
      </c>
      <c r="G13" s="4" t="s">
        <v>40</v>
      </c>
    </row>
    <row r="14" spans="1:10">
      <c r="A14" s="4" t="s">
        <v>41</v>
      </c>
      <c r="B14" s="4" t="s">
        <v>42</v>
      </c>
      <c r="C14" s="4">
        <v>0.4</v>
      </c>
      <c r="D14" s="4">
        <v>0.102</v>
      </c>
      <c r="E14" s="4">
        <v>17.2</v>
      </c>
      <c r="F14" s="4" t="s">
        <v>43</v>
      </c>
      <c r="G14" s="4" t="s">
        <v>44</v>
      </c>
    </row>
    <row r="15" spans="1:10">
      <c r="A15" s="4" t="s">
        <v>45</v>
      </c>
      <c r="B15" s="4" t="s">
        <v>46</v>
      </c>
      <c r="C15" s="4">
        <v>0.49</v>
      </c>
      <c r="D15" s="4">
        <v>0.043</v>
      </c>
      <c r="E15" s="4">
        <v>26.1</v>
      </c>
      <c r="F15" s="4" t="s">
        <v>39</v>
      </c>
      <c r="G15" s="4" t="s">
        <v>47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S32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10.7109375" customWidth="1"/>
    <col min="2" max="2" width="14.7109375" customWidth="1"/>
    <col min="3" max="3" width="28.7109375" customWidth="1"/>
    <col min="4" max="5" width="38.7109375" customWidth="1"/>
    <col min="6" max="6" width="42.7109375" customWidth="1"/>
    <col min="7" max="7" width="18.7109375" customWidth="1"/>
    <col min="8" max="8" width="42.7109375" customWidth="1"/>
    <col min="9" max="9" width="28.7109375" customWidth="1"/>
    <col min="10" max="10" width="12.7109375" style="5" customWidth="1"/>
    <col min="11" max="13" width="12.7109375" customWidth="1"/>
    <col min="14" max="16" width="14.7109375" customWidth="1"/>
    <col min="17" max="17" width="12.7109375" customWidth="1"/>
    <col min="18" max="18" width="14.7109375" customWidth="1"/>
    <col min="19" max="19" width="12.7109375" customWidth="1"/>
  </cols>
  <sheetData>
    <row r="1" spans="1:19">
      <c r="A1" s="1" t="s">
        <v>48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5" spans="1:19">
      <c r="A5" s="3" t="s">
        <v>2</v>
      </c>
      <c r="B5" s="3" t="s">
        <v>49</v>
      </c>
      <c r="C5" s="3" t="s">
        <v>3</v>
      </c>
      <c r="D5" s="3" t="s">
        <v>50</v>
      </c>
      <c r="E5" s="3" t="s">
        <v>51</v>
      </c>
      <c r="F5" s="3" t="s">
        <v>52</v>
      </c>
      <c r="G5" s="3" t="s">
        <v>7</v>
      </c>
      <c r="H5" s="3" t="s">
        <v>53</v>
      </c>
      <c r="I5" s="3" t="s">
        <v>54</v>
      </c>
      <c r="J5" s="3" t="s">
        <v>4</v>
      </c>
      <c r="K5" s="3" t="s">
        <v>55</v>
      </c>
      <c r="L5" s="3" t="s">
        <v>56</v>
      </c>
      <c r="M5" s="3" t="s">
        <v>57</v>
      </c>
      <c r="N5" s="3" t="s">
        <v>58</v>
      </c>
      <c r="O5" s="3" t="s">
        <v>59</v>
      </c>
      <c r="P5" s="3" t="s">
        <v>60</v>
      </c>
      <c r="Q5" s="3" t="s">
        <v>5</v>
      </c>
      <c r="R5" s="3" t="s">
        <v>6</v>
      </c>
      <c r="S5" s="3" t="s">
        <v>61</v>
      </c>
    </row>
    <row r="6" spans="1:19">
      <c r="A6" s="4" t="s">
        <v>9</v>
      </c>
      <c r="B6" s="4" t="s">
        <v>62</v>
      </c>
      <c r="C6" s="4" t="s">
        <v>10</v>
      </c>
      <c r="D6" s="4" t="s">
        <v>63</v>
      </c>
      <c r="E6" s="4" t="s">
        <v>64</v>
      </c>
      <c r="F6" s="4" t="s">
        <v>65</v>
      </c>
      <c r="G6" s="4" t="s">
        <v>11</v>
      </c>
      <c r="H6" s="4" t="s">
        <v>12</v>
      </c>
      <c r="I6" s="4" t="s">
        <v>66</v>
      </c>
      <c r="J6" s="4">
        <v>0.49</v>
      </c>
      <c r="K6" s="4">
        <v>0.114</v>
      </c>
      <c r="L6" s="4">
        <v>0.253</v>
      </c>
      <c r="M6" s="4">
        <v>0.544</v>
      </c>
      <c r="N6" s="4">
        <v>8.1</v>
      </c>
      <c r="O6" s="4">
        <v>18</v>
      </c>
      <c r="P6" s="4">
        <v>40.5</v>
      </c>
      <c r="Q6" s="4">
        <v>0.153</v>
      </c>
      <c r="R6" s="4">
        <v>11.2</v>
      </c>
      <c r="S6" s="4" t="s">
        <v>67</v>
      </c>
    </row>
    <row r="7" spans="1:19">
      <c r="A7" s="4" t="s">
        <v>13</v>
      </c>
      <c r="B7" s="4" t="s">
        <v>68</v>
      </c>
      <c r="C7" s="4" t="s">
        <v>14</v>
      </c>
      <c r="D7" s="4" t="s">
        <v>69</v>
      </c>
      <c r="E7" s="4" t="s">
        <v>70</v>
      </c>
      <c r="F7" s="4" t="s">
        <v>71</v>
      </c>
      <c r="G7" s="4" t="s">
        <v>15</v>
      </c>
      <c r="H7" s="4" t="s">
        <v>16</v>
      </c>
      <c r="I7" s="4" t="s">
        <v>72</v>
      </c>
      <c r="J7" s="4">
        <v>0.44</v>
      </c>
      <c r="K7" s="4">
        <v>0.135</v>
      </c>
      <c r="L7" s="4">
        <v>0.299</v>
      </c>
      <c r="M7" s="4">
        <v>0.643</v>
      </c>
      <c r="N7" s="4">
        <v>9.9</v>
      </c>
      <c r="O7" s="4">
        <v>22</v>
      </c>
      <c r="P7" s="4">
        <v>49.5</v>
      </c>
      <c r="Q7" s="4">
        <v>0.163</v>
      </c>
      <c r="R7" s="4">
        <v>12.2</v>
      </c>
      <c r="S7" s="4" t="s">
        <v>67</v>
      </c>
    </row>
    <row r="8" spans="1:19">
      <c r="A8" s="4" t="s">
        <v>17</v>
      </c>
      <c r="B8" s="4" t="s">
        <v>73</v>
      </c>
      <c r="C8" s="4" t="s">
        <v>18</v>
      </c>
      <c r="D8" s="4" t="s">
        <v>74</v>
      </c>
      <c r="E8" s="4" t="s">
        <v>75</v>
      </c>
      <c r="F8" s="4" t="s">
        <v>76</v>
      </c>
      <c r="G8" s="4" t="s">
        <v>19</v>
      </c>
      <c r="H8" s="4" t="s">
        <v>20</v>
      </c>
      <c r="I8" s="4" t="s">
        <v>77</v>
      </c>
      <c r="J8" s="4">
        <v>0.49</v>
      </c>
      <c r="K8" s="4">
        <v>0.062</v>
      </c>
      <c r="L8" s="4">
        <v>0.138</v>
      </c>
      <c r="M8" s="4">
        <v>0.31</v>
      </c>
      <c r="N8" s="4">
        <v>16.8</v>
      </c>
      <c r="O8" s="4">
        <v>42</v>
      </c>
      <c r="P8" s="4">
        <v>96.59999999999999</v>
      </c>
      <c r="Q8" s="4">
        <v>0.08500000000000001</v>
      </c>
      <c r="R8" s="4">
        <v>26.1</v>
      </c>
      <c r="S8" s="4" t="s">
        <v>67</v>
      </c>
    </row>
    <row r="9" spans="1:19">
      <c r="A9" s="4" t="s">
        <v>21</v>
      </c>
      <c r="B9" s="4" t="s">
        <v>73</v>
      </c>
      <c r="C9" s="4" t="s">
        <v>22</v>
      </c>
      <c r="D9" s="4" t="s">
        <v>78</v>
      </c>
      <c r="E9" s="4" t="s">
        <v>79</v>
      </c>
      <c r="F9" s="4" t="s">
        <v>80</v>
      </c>
      <c r="G9" s="4" t="s">
        <v>23</v>
      </c>
      <c r="H9" s="4" t="s">
        <v>24</v>
      </c>
      <c r="I9" s="4" t="s">
        <v>81</v>
      </c>
      <c r="J9" s="4">
        <v>0.44</v>
      </c>
      <c r="K9" s="4">
        <v>0.093</v>
      </c>
      <c r="L9" s="4">
        <v>0.207</v>
      </c>
      <c r="M9" s="4">
        <v>0.466</v>
      </c>
      <c r="N9" s="4">
        <v>14.8</v>
      </c>
      <c r="O9" s="4">
        <v>37</v>
      </c>
      <c r="P9" s="4">
        <v>85.09999999999999</v>
      </c>
      <c r="Q9" s="4">
        <v>0.115</v>
      </c>
      <c r="R9" s="4">
        <v>20.7</v>
      </c>
      <c r="S9" s="4" t="s">
        <v>67</v>
      </c>
    </row>
    <row r="10" spans="1:19">
      <c r="A10" s="4" t="s">
        <v>25</v>
      </c>
      <c r="B10" s="4" t="s">
        <v>82</v>
      </c>
      <c r="C10" s="4" t="s">
        <v>26</v>
      </c>
      <c r="D10" s="4" t="s">
        <v>83</v>
      </c>
      <c r="E10" s="4" t="s">
        <v>84</v>
      </c>
      <c r="F10" s="4" t="s">
        <v>85</v>
      </c>
      <c r="G10" s="4" t="s">
        <v>27</v>
      </c>
      <c r="H10" s="4" t="s">
        <v>28</v>
      </c>
      <c r="I10" s="4" t="s">
        <v>86</v>
      </c>
      <c r="J10" s="4">
        <v>0.49</v>
      </c>
      <c r="K10" s="4">
        <v>0.093</v>
      </c>
      <c r="L10" s="4">
        <v>0.207</v>
      </c>
      <c r="M10" s="4">
        <v>0.445</v>
      </c>
      <c r="N10" s="4">
        <v>6.3</v>
      </c>
      <c r="O10" s="4">
        <v>14</v>
      </c>
      <c r="P10" s="4">
        <v>31.5</v>
      </c>
      <c r="Q10" s="4">
        <v>0.125</v>
      </c>
      <c r="R10" s="4">
        <v>8.699999999999999</v>
      </c>
      <c r="S10" s="4" t="s">
        <v>67</v>
      </c>
    </row>
    <row r="11" spans="1:19">
      <c r="A11" s="4" t="s">
        <v>29</v>
      </c>
      <c r="B11" s="4" t="s">
        <v>87</v>
      </c>
      <c r="C11" s="4" t="s">
        <v>30</v>
      </c>
      <c r="D11" s="4" t="s">
        <v>88</v>
      </c>
      <c r="E11" s="4" t="s">
        <v>89</v>
      </c>
      <c r="F11" s="4" t="s">
        <v>90</v>
      </c>
      <c r="G11" s="4" t="s">
        <v>31</v>
      </c>
      <c r="H11" s="4" t="s">
        <v>32</v>
      </c>
      <c r="I11" s="4" t="s">
        <v>91</v>
      </c>
      <c r="J11" s="4">
        <v>0.4</v>
      </c>
      <c r="K11" s="4">
        <v>0.114</v>
      </c>
      <c r="L11" s="4">
        <v>0.253</v>
      </c>
      <c r="M11" s="4">
        <v>0.544</v>
      </c>
      <c r="N11" s="4">
        <v>17.1</v>
      </c>
      <c r="O11" s="4">
        <v>38</v>
      </c>
      <c r="P11" s="4">
        <v>85.5</v>
      </c>
      <c r="Q11" s="4">
        <v>0.125</v>
      </c>
      <c r="R11" s="4">
        <v>19.2</v>
      </c>
      <c r="S11" s="4" t="s">
        <v>67</v>
      </c>
    </row>
    <row r="12" spans="1:19">
      <c r="A12" s="4" t="s">
        <v>33</v>
      </c>
      <c r="B12" s="4" t="s">
        <v>92</v>
      </c>
      <c r="C12" s="4" t="s">
        <v>34</v>
      </c>
      <c r="D12" s="4" t="s">
        <v>93</v>
      </c>
      <c r="E12" s="4" t="s">
        <v>94</v>
      </c>
      <c r="F12" s="4" t="s">
        <v>95</v>
      </c>
      <c r="G12" s="4" t="s">
        <v>35</v>
      </c>
      <c r="H12" s="4" t="s">
        <v>36</v>
      </c>
      <c r="I12" s="4" t="s">
        <v>96</v>
      </c>
      <c r="J12" s="4">
        <v>0.47</v>
      </c>
      <c r="K12" s="4">
        <v>0.07199999999999999</v>
      </c>
      <c r="L12" s="4">
        <v>0.161</v>
      </c>
      <c r="M12" s="4">
        <v>0.346</v>
      </c>
      <c r="N12" s="4">
        <v>13.5</v>
      </c>
      <c r="O12" s="4">
        <v>30</v>
      </c>
      <c r="P12" s="4">
        <v>67.5</v>
      </c>
      <c r="Q12" s="4">
        <v>0.093</v>
      </c>
      <c r="R12" s="4">
        <v>17.8</v>
      </c>
      <c r="S12" s="4" t="s">
        <v>67</v>
      </c>
    </row>
    <row r="13" spans="1:19">
      <c r="A13" s="4" t="s">
        <v>37</v>
      </c>
      <c r="B13" s="4" t="s">
        <v>97</v>
      </c>
      <c r="C13" s="4" t="s">
        <v>38</v>
      </c>
      <c r="D13" s="4" t="s">
        <v>98</v>
      </c>
      <c r="E13" s="4" t="s">
        <v>99</v>
      </c>
      <c r="F13" s="4" t="s">
        <v>100</v>
      </c>
      <c r="G13" s="4" t="s">
        <v>39</v>
      </c>
      <c r="H13" s="4" t="s">
        <v>40</v>
      </c>
      <c r="I13" s="4" t="s">
        <v>101</v>
      </c>
      <c r="J13" s="4">
        <v>0.53</v>
      </c>
      <c r="K13" s="4">
        <v>0.07199999999999999</v>
      </c>
      <c r="L13" s="4">
        <v>0.161</v>
      </c>
      <c r="M13" s="4">
        <v>0.346</v>
      </c>
      <c r="N13" s="4">
        <v>4.5</v>
      </c>
      <c r="O13" s="4">
        <v>10</v>
      </c>
      <c r="P13" s="4">
        <v>22.5</v>
      </c>
      <c r="Q13" s="4">
        <v>0.105</v>
      </c>
      <c r="R13" s="4">
        <v>6.7</v>
      </c>
      <c r="S13" s="4" t="s">
        <v>67</v>
      </c>
    </row>
    <row r="14" spans="1:19">
      <c r="A14" s="4" t="s">
        <v>41</v>
      </c>
      <c r="B14" s="4" t="s">
        <v>102</v>
      </c>
      <c r="C14" s="4" t="s">
        <v>42</v>
      </c>
      <c r="D14" s="4" t="s">
        <v>103</v>
      </c>
      <c r="E14" s="4" t="s">
        <v>104</v>
      </c>
      <c r="F14" s="4" t="s">
        <v>105</v>
      </c>
      <c r="G14" s="4" t="s">
        <v>43</v>
      </c>
      <c r="H14" s="4" t="s">
        <v>44</v>
      </c>
      <c r="I14" s="4" t="s">
        <v>106</v>
      </c>
      <c r="J14" s="4">
        <v>0.4</v>
      </c>
      <c r="K14" s="4">
        <v>0.093</v>
      </c>
      <c r="L14" s="4">
        <v>0.207</v>
      </c>
      <c r="M14" s="4">
        <v>0.445</v>
      </c>
      <c r="N14" s="4">
        <v>15.3</v>
      </c>
      <c r="O14" s="4">
        <v>34</v>
      </c>
      <c r="P14" s="4">
        <v>76.5</v>
      </c>
      <c r="Q14" s="4">
        <v>0.102</v>
      </c>
      <c r="R14" s="4">
        <v>17.2</v>
      </c>
      <c r="S14" s="4" t="s">
        <v>67</v>
      </c>
    </row>
    <row r="15" spans="1:19">
      <c r="A15" s="4" t="s">
        <v>45</v>
      </c>
      <c r="B15" s="4" t="s">
        <v>73</v>
      </c>
      <c r="C15" s="4" t="s">
        <v>46</v>
      </c>
      <c r="D15" s="4" t="s">
        <v>107</v>
      </c>
      <c r="E15" s="4" t="s">
        <v>108</v>
      </c>
      <c r="F15" s="4" t="s">
        <v>109</v>
      </c>
      <c r="G15" s="4" t="s">
        <v>39</v>
      </c>
      <c r="H15" s="4" t="s">
        <v>47</v>
      </c>
      <c r="I15" s="4" t="s">
        <v>110</v>
      </c>
      <c r="J15" s="4">
        <v>0.49</v>
      </c>
      <c r="K15" s="4">
        <v>0.031</v>
      </c>
      <c r="L15" s="4">
        <v>0.06900000000000001</v>
      </c>
      <c r="M15" s="4">
        <v>0.155</v>
      </c>
      <c r="N15" s="4">
        <v>16.8</v>
      </c>
      <c r="O15" s="4">
        <v>42</v>
      </c>
      <c r="P15" s="4">
        <v>96.59999999999999</v>
      </c>
      <c r="Q15" s="4">
        <v>0.043</v>
      </c>
      <c r="R15" s="4">
        <v>26.1</v>
      </c>
      <c r="S15" s="4" t="s">
        <v>67</v>
      </c>
    </row>
    <row r="16" spans="1:19">
      <c r="A16" s="4" t="s">
        <v>111</v>
      </c>
      <c r="B16" s="4" t="s">
        <v>112</v>
      </c>
      <c r="C16" s="4" t="s">
        <v>113</v>
      </c>
      <c r="D16" s="4" t="s">
        <v>114</v>
      </c>
      <c r="E16" s="4" t="s">
        <v>115</v>
      </c>
      <c r="F16" s="4" t="s">
        <v>116</v>
      </c>
      <c r="G16" s="4" t="s">
        <v>117</v>
      </c>
      <c r="H16" s="4" t="s">
        <v>118</v>
      </c>
      <c r="I16" s="4" t="s">
        <v>119</v>
      </c>
      <c r="J16" s="4">
        <v>0.37</v>
      </c>
      <c r="K16" s="4">
        <v>0.135</v>
      </c>
      <c r="L16" s="4">
        <v>0.299</v>
      </c>
      <c r="M16" s="4">
        <v>0.643</v>
      </c>
      <c r="N16" s="4">
        <v>2.7</v>
      </c>
      <c r="O16" s="4">
        <v>6</v>
      </c>
      <c r="P16" s="4">
        <v>13.5</v>
      </c>
      <c r="Q16" s="4">
        <v>0.137</v>
      </c>
      <c r="R16" s="4">
        <v>2.8</v>
      </c>
      <c r="S16" s="4" t="s">
        <v>67</v>
      </c>
    </row>
    <row r="17" spans="1:19">
      <c r="A17" s="4" t="s">
        <v>120</v>
      </c>
      <c r="B17" s="4" t="s">
        <v>73</v>
      </c>
      <c r="C17" s="4" t="s">
        <v>121</v>
      </c>
      <c r="D17" s="4" t="s">
        <v>122</v>
      </c>
      <c r="E17" s="4" t="s">
        <v>123</v>
      </c>
      <c r="F17" s="4" t="s">
        <v>124</v>
      </c>
      <c r="G17" s="4" t="s">
        <v>11</v>
      </c>
      <c r="H17" s="4" t="s">
        <v>125</v>
      </c>
      <c r="I17" s="4" t="s">
        <v>126</v>
      </c>
      <c r="J17" s="4">
        <v>0.44</v>
      </c>
      <c r="K17" s="4">
        <v>0.047</v>
      </c>
      <c r="L17" s="4">
        <v>0.104</v>
      </c>
      <c r="M17" s="4">
        <v>0.233</v>
      </c>
      <c r="N17" s="4">
        <v>14.8</v>
      </c>
      <c r="O17" s="4">
        <v>37</v>
      </c>
      <c r="P17" s="4">
        <v>85.09999999999999</v>
      </c>
      <c r="Q17" s="4">
        <v>0.058</v>
      </c>
      <c r="R17" s="4">
        <v>20.7</v>
      </c>
      <c r="S17" s="4" t="s">
        <v>67</v>
      </c>
    </row>
    <row r="18" spans="1:19">
      <c r="A18" s="4" t="s">
        <v>127</v>
      </c>
      <c r="B18" s="4" t="s">
        <v>73</v>
      </c>
      <c r="C18" s="4" t="s">
        <v>128</v>
      </c>
      <c r="D18" s="4" t="s">
        <v>129</v>
      </c>
      <c r="E18" s="4" t="s">
        <v>130</v>
      </c>
      <c r="F18" s="4" t="s">
        <v>131</v>
      </c>
      <c r="G18" s="4" t="s">
        <v>132</v>
      </c>
      <c r="H18" s="4" t="s">
        <v>133</v>
      </c>
      <c r="I18" s="4" t="s">
        <v>134</v>
      </c>
      <c r="J18" s="4">
        <v>0.39</v>
      </c>
      <c r="K18" s="4">
        <v>0.078</v>
      </c>
      <c r="L18" s="4">
        <v>0.173</v>
      </c>
      <c r="M18" s="4">
        <v>0.388</v>
      </c>
      <c r="N18" s="4">
        <v>12.8</v>
      </c>
      <c r="O18" s="4">
        <v>32</v>
      </c>
      <c r="P18" s="4">
        <v>73.59999999999999</v>
      </c>
      <c r="Q18" s="4">
        <v>0.08500000000000001</v>
      </c>
      <c r="R18" s="4">
        <v>15.8</v>
      </c>
      <c r="S18" s="4" t="s">
        <v>67</v>
      </c>
    </row>
    <row r="19" spans="1:19">
      <c r="A19" s="4" t="s">
        <v>135</v>
      </c>
      <c r="B19" s="4" t="s">
        <v>73</v>
      </c>
      <c r="C19" s="4" t="s">
        <v>136</v>
      </c>
      <c r="D19" s="4" t="s">
        <v>137</v>
      </c>
      <c r="E19" s="4" t="s">
        <v>138</v>
      </c>
      <c r="F19" s="4" t="s">
        <v>139</v>
      </c>
      <c r="G19" s="4" t="s">
        <v>43</v>
      </c>
      <c r="H19" s="4" t="s">
        <v>140</v>
      </c>
      <c r="I19" s="4" t="s">
        <v>141</v>
      </c>
      <c r="J19" s="4">
        <v>0.34</v>
      </c>
      <c r="K19" s="4">
        <v>0.093</v>
      </c>
      <c r="L19" s="4">
        <v>0.207</v>
      </c>
      <c r="M19" s="4">
        <v>0.466</v>
      </c>
      <c r="N19" s="4">
        <v>10.8</v>
      </c>
      <c r="O19" s="4">
        <v>27</v>
      </c>
      <c r="P19" s="4">
        <v>62.1</v>
      </c>
      <c r="Q19" s="4">
        <v>0.089</v>
      </c>
      <c r="R19" s="4">
        <v>11.7</v>
      </c>
      <c r="S19" s="4" t="s">
        <v>67</v>
      </c>
    </row>
    <row r="20" spans="1:19">
      <c r="A20" s="4" t="s">
        <v>142</v>
      </c>
      <c r="B20" s="4" t="s">
        <v>143</v>
      </c>
      <c r="C20" s="4" t="s">
        <v>144</v>
      </c>
      <c r="D20" s="4" t="s">
        <v>145</v>
      </c>
      <c r="E20" s="4" t="s">
        <v>146</v>
      </c>
      <c r="F20" s="4" t="s">
        <v>147</v>
      </c>
      <c r="G20" s="4" t="s">
        <v>148</v>
      </c>
      <c r="H20" s="4" t="s">
        <v>149</v>
      </c>
      <c r="I20" s="4" t="s">
        <v>150</v>
      </c>
      <c r="J20" s="4">
        <v>0.41</v>
      </c>
      <c r="K20" s="4">
        <v>0.052</v>
      </c>
      <c r="L20" s="4">
        <v>0.115</v>
      </c>
      <c r="M20" s="4">
        <v>0.247</v>
      </c>
      <c r="N20" s="4">
        <v>11.7</v>
      </c>
      <c r="O20" s="4">
        <v>26</v>
      </c>
      <c r="P20" s="4">
        <v>58.5</v>
      </c>
      <c r="Q20" s="4">
        <v>0.058</v>
      </c>
      <c r="R20" s="4">
        <v>13.5</v>
      </c>
      <c r="S20" s="4" t="s">
        <v>67</v>
      </c>
    </row>
    <row r="21" spans="1:19">
      <c r="A21" s="4" t="s">
        <v>151</v>
      </c>
      <c r="B21" s="4" t="s">
        <v>73</v>
      </c>
      <c r="C21" s="4" t="s">
        <v>152</v>
      </c>
      <c r="D21" s="4" t="s">
        <v>153</v>
      </c>
      <c r="E21" s="4" t="s">
        <v>154</v>
      </c>
      <c r="F21" s="4" t="s">
        <v>155</v>
      </c>
      <c r="G21" s="4" t="s">
        <v>15</v>
      </c>
      <c r="H21" s="4" t="s">
        <v>156</v>
      </c>
      <c r="I21" s="4" t="s">
        <v>157</v>
      </c>
      <c r="J21" s="4">
        <v>0.34</v>
      </c>
      <c r="K21" s="4">
        <v>0.062</v>
      </c>
      <c r="L21" s="4">
        <v>0.138</v>
      </c>
      <c r="M21" s="4">
        <v>0.31</v>
      </c>
      <c r="N21" s="4">
        <v>10.8</v>
      </c>
      <c r="O21" s="4">
        <v>27</v>
      </c>
      <c r="P21" s="4">
        <v>62.1</v>
      </c>
      <c r="Q21" s="4">
        <v>0.059</v>
      </c>
      <c r="R21" s="4">
        <v>11.7</v>
      </c>
      <c r="S21" s="4" t="s">
        <v>67</v>
      </c>
    </row>
    <row r="22" spans="1:19">
      <c r="A22" s="4" t="s">
        <v>158</v>
      </c>
      <c r="B22" s="4" t="s">
        <v>73</v>
      </c>
      <c r="C22" s="4" t="s">
        <v>159</v>
      </c>
      <c r="D22" s="4" t="s">
        <v>160</v>
      </c>
      <c r="E22" s="4" t="s">
        <v>161</v>
      </c>
      <c r="F22" s="4" t="s">
        <v>162</v>
      </c>
      <c r="G22" s="4" t="s">
        <v>163</v>
      </c>
      <c r="H22" s="4" t="s">
        <v>164</v>
      </c>
      <c r="I22" s="4" t="s">
        <v>165</v>
      </c>
      <c r="J22" s="4">
        <v>0.39</v>
      </c>
      <c r="K22" s="4">
        <v>0.031</v>
      </c>
      <c r="L22" s="4">
        <v>0.06900000000000001</v>
      </c>
      <c r="M22" s="4">
        <v>0.155</v>
      </c>
      <c r="N22" s="4">
        <v>12.8</v>
      </c>
      <c r="O22" s="4">
        <v>32</v>
      </c>
      <c r="P22" s="4">
        <v>73.59999999999999</v>
      </c>
      <c r="Q22" s="4">
        <v>0.034</v>
      </c>
      <c r="R22" s="4">
        <v>15.8</v>
      </c>
      <c r="S22" s="4" t="s">
        <v>67</v>
      </c>
    </row>
    <row r="23" spans="1:19">
      <c r="A23" s="4" t="s">
        <v>166</v>
      </c>
      <c r="B23" s="4" t="s">
        <v>167</v>
      </c>
      <c r="C23" s="4" t="s">
        <v>168</v>
      </c>
      <c r="D23" s="4" t="s">
        <v>169</v>
      </c>
      <c r="E23" s="4" t="s">
        <v>170</v>
      </c>
      <c r="F23" s="4" t="s">
        <v>171</v>
      </c>
      <c r="G23" s="4" t="s">
        <v>23</v>
      </c>
      <c r="H23" s="4" t="s">
        <v>172</v>
      </c>
      <c r="I23" s="4" t="s">
        <v>173</v>
      </c>
      <c r="J23" s="4">
        <v>0.41</v>
      </c>
      <c r="K23" s="4">
        <v>0.052</v>
      </c>
      <c r="L23" s="4">
        <v>0.115</v>
      </c>
      <c r="M23" s="4">
        <v>0.247</v>
      </c>
      <c r="N23" s="4">
        <v>4.5</v>
      </c>
      <c r="O23" s="4">
        <v>10</v>
      </c>
      <c r="P23" s="4">
        <v>22.5</v>
      </c>
      <c r="Q23" s="4">
        <v>0.058</v>
      </c>
      <c r="R23" s="4">
        <v>5.2</v>
      </c>
      <c r="S23" s="4" t="s">
        <v>67</v>
      </c>
    </row>
    <row r="24" spans="1:19">
      <c r="A24" s="4" t="s">
        <v>174</v>
      </c>
      <c r="B24" s="4" t="s">
        <v>73</v>
      </c>
      <c r="C24" s="4" t="s">
        <v>175</v>
      </c>
      <c r="D24" s="4" t="s">
        <v>176</v>
      </c>
      <c r="E24" s="4" t="s">
        <v>177</v>
      </c>
      <c r="F24" s="4" t="s">
        <v>178</v>
      </c>
      <c r="G24" s="4" t="s">
        <v>179</v>
      </c>
      <c r="H24" s="4" t="s">
        <v>180</v>
      </c>
      <c r="I24" s="4" t="s">
        <v>181</v>
      </c>
      <c r="J24" s="4">
        <v>0.29</v>
      </c>
      <c r="K24" s="4">
        <v>0.078</v>
      </c>
      <c r="L24" s="4">
        <v>0.173</v>
      </c>
      <c r="M24" s="4">
        <v>0.388</v>
      </c>
      <c r="N24" s="4">
        <v>8.800000000000001</v>
      </c>
      <c r="O24" s="4">
        <v>22</v>
      </c>
      <c r="P24" s="4">
        <v>50.6</v>
      </c>
      <c r="Q24" s="4">
        <v>0.063</v>
      </c>
      <c r="R24" s="4">
        <v>8.1</v>
      </c>
      <c r="S24" s="4" t="s">
        <v>67</v>
      </c>
    </row>
    <row r="25" spans="1:19">
      <c r="A25" s="4" t="s">
        <v>182</v>
      </c>
      <c r="B25" s="4" t="s">
        <v>73</v>
      </c>
      <c r="C25" s="4" t="s">
        <v>183</v>
      </c>
      <c r="D25" s="4" t="s">
        <v>184</v>
      </c>
      <c r="E25" s="4" t="s">
        <v>185</v>
      </c>
      <c r="F25" s="4" t="s">
        <v>186</v>
      </c>
      <c r="G25" s="4" t="s">
        <v>35</v>
      </c>
      <c r="H25" s="4" t="s">
        <v>187</v>
      </c>
      <c r="I25" s="4" t="s">
        <v>188</v>
      </c>
      <c r="J25" s="4">
        <v>0.29</v>
      </c>
      <c r="K25" s="4">
        <v>0.047</v>
      </c>
      <c r="L25" s="4">
        <v>0.104</v>
      </c>
      <c r="M25" s="4">
        <v>0.233</v>
      </c>
      <c r="N25" s="4">
        <v>8.800000000000001</v>
      </c>
      <c r="O25" s="4">
        <v>22</v>
      </c>
      <c r="P25" s="4">
        <v>50.6</v>
      </c>
      <c r="Q25" s="4">
        <v>0.038</v>
      </c>
      <c r="R25" s="4">
        <v>8.1</v>
      </c>
      <c r="S25" s="4" t="s">
        <v>67</v>
      </c>
    </row>
    <row r="26" spans="1:19">
      <c r="A26" s="4" t="s">
        <v>189</v>
      </c>
      <c r="B26" s="4" t="s">
        <v>73</v>
      </c>
      <c r="C26" s="4" t="s">
        <v>190</v>
      </c>
      <c r="D26" s="4" t="s">
        <v>191</v>
      </c>
      <c r="E26" s="4" t="s">
        <v>192</v>
      </c>
      <c r="F26" s="4" t="s">
        <v>193</v>
      </c>
      <c r="G26" s="4" t="s">
        <v>148</v>
      </c>
      <c r="H26" s="4" t="s">
        <v>194</v>
      </c>
      <c r="I26" s="4" t="s">
        <v>195</v>
      </c>
      <c r="J26" s="4">
        <v>0.24</v>
      </c>
      <c r="K26" s="4">
        <v>0.062</v>
      </c>
      <c r="L26" s="4">
        <v>0.138</v>
      </c>
      <c r="M26" s="4">
        <v>0.31</v>
      </c>
      <c r="N26" s="4">
        <v>6.8</v>
      </c>
      <c r="O26" s="4">
        <v>17</v>
      </c>
      <c r="P26" s="4">
        <v>39.1</v>
      </c>
      <c r="Q26" s="4">
        <v>0.042</v>
      </c>
      <c r="R26" s="4">
        <v>5.2</v>
      </c>
      <c r="S26" s="4" t="s">
        <v>67</v>
      </c>
    </row>
    <row r="27" spans="1:19">
      <c r="A27" s="4" t="s">
        <v>196</v>
      </c>
      <c r="B27" s="4" t="s">
        <v>73</v>
      </c>
      <c r="C27" s="4" t="s">
        <v>197</v>
      </c>
      <c r="D27" s="4" t="s">
        <v>198</v>
      </c>
      <c r="E27" s="4" t="s">
        <v>199</v>
      </c>
      <c r="F27" s="4" t="s">
        <v>200</v>
      </c>
      <c r="G27" s="4" t="s">
        <v>201</v>
      </c>
      <c r="H27" s="4" t="s">
        <v>202</v>
      </c>
      <c r="I27" s="4" t="s">
        <v>203</v>
      </c>
      <c r="J27" s="4">
        <v>0.19</v>
      </c>
      <c r="K27" s="4">
        <v>0.093</v>
      </c>
      <c r="L27" s="4">
        <v>0.207</v>
      </c>
      <c r="M27" s="4">
        <v>0.466</v>
      </c>
      <c r="N27" s="4">
        <v>4.8</v>
      </c>
      <c r="O27" s="4">
        <v>12</v>
      </c>
      <c r="P27" s="4">
        <v>27.6</v>
      </c>
      <c r="Q27" s="4">
        <v>0.05</v>
      </c>
      <c r="R27" s="4">
        <v>2.9</v>
      </c>
      <c r="S27" s="4" t="s">
        <v>67</v>
      </c>
    </row>
    <row r="28" spans="1:19">
      <c r="A28" s="4" t="s">
        <v>204</v>
      </c>
      <c r="B28" s="4" t="s">
        <v>73</v>
      </c>
      <c r="C28" s="4" t="s">
        <v>205</v>
      </c>
      <c r="D28" s="4" t="s">
        <v>206</v>
      </c>
      <c r="E28" s="4" t="s">
        <v>207</v>
      </c>
      <c r="F28" s="4" t="s">
        <v>208</v>
      </c>
      <c r="G28" s="4" t="s">
        <v>31</v>
      </c>
      <c r="H28" s="4" t="s">
        <v>209</v>
      </c>
      <c r="I28" s="4" t="s">
        <v>91</v>
      </c>
      <c r="J28" s="4">
        <v>0.24</v>
      </c>
      <c r="K28" s="4">
        <v>0.031</v>
      </c>
      <c r="L28" s="4">
        <v>0.06900000000000001</v>
      </c>
      <c r="M28" s="4">
        <v>0.155</v>
      </c>
      <c r="N28" s="4">
        <v>6.8</v>
      </c>
      <c r="O28" s="4">
        <v>17</v>
      </c>
      <c r="P28" s="4">
        <v>39.1</v>
      </c>
      <c r="Q28" s="4">
        <v>0.021</v>
      </c>
      <c r="R28" s="4">
        <v>5.2</v>
      </c>
      <c r="S28" s="4" t="s">
        <v>67</v>
      </c>
    </row>
    <row r="29" spans="1:19">
      <c r="A29" s="4" t="s">
        <v>210</v>
      </c>
      <c r="B29" s="4" t="s">
        <v>73</v>
      </c>
      <c r="C29" s="4" t="s">
        <v>211</v>
      </c>
      <c r="D29" s="4" t="s">
        <v>212</v>
      </c>
      <c r="E29" s="4" t="s">
        <v>213</v>
      </c>
      <c r="F29" s="4" t="s">
        <v>214</v>
      </c>
      <c r="G29" s="4" t="s">
        <v>19</v>
      </c>
      <c r="H29" s="4" t="s">
        <v>215</v>
      </c>
      <c r="I29" s="4" t="s">
        <v>216</v>
      </c>
      <c r="J29" s="4">
        <v>0.19</v>
      </c>
      <c r="K29" s="4">
        <v>0.062</v>
      </c>
      <c r="L29" s="4">
        <v>0.138</v>
      </c>
      <c r="M29" s="4">
        <v>0.31</v>
      </c>
      <c r="N29" s="4">
        <v>4.8</v>
      </c>
      <c r="O29" s="4">
        <v>12</v>
      </c>
      <c r="P29" s="4">
        <v>27.6</v>
      </c>
      <c r="Q29" s="4">
        <v>0.033</v>
      </c>
      <c r="R29" s="4">
        <v>2.9</v>
      </c>
      <c r="S29" s="4" t="s">
        <v>67</v>
      </c>
    </row>
    <row r="30" spans="1:19">
      <c r="A30" s="4" t="s">
        <v>217</v>
      </c>
      <c r="B30" s="4" t="s">
        <v>73</v>
      </c>
      <c r="C30" s="4" t="s">
        <v>218</v>
      </c>
      <c r="D30" s="4" t="s">
        <v>219</v>
      </c>
      <c r="E30" s="4" t="s">
        <v>220</v>
      </c>
      <c r="F30" s="4" t="s">
        <v>221</v>
      </c>
      <c r="G30" s="4" t="s">
        <v>39</v>
      </c>
      <c r="H30" s="4" t="s">
        <v>222</v>
      </c>
      <c r="I30" s="4" t="s">
        <v>223</v>
      </c>
      <c r="J30" s="4">
        <v>0.19</v>
      </c>
      <c r="K30" s="4">
        <v>0.047</v>
      </c>
      <c r="L30" s="4">
        <v>0.104</v>
      </c>
      <c r="M30" s="4">
        <v>0.233</v>
      </c>
      <c r="N30" s="4">
        <v>4.8</v>
      </c>
      <c r="O30" s="4">
        <v>12</v>
      </c>
      <c r="P30" s="4">
        <v>27.6</v>
      </c>
      <c r="Q30" s="4">
        <v>0.025</v>
      </c>
      <c r="R30" s="4">
        <v>2.9</v>
      </c>
      <c r="S30" s="4" t="s">
        <v>67</v>
      </c>
    </row>
    <row r="31" spans="1:19">
      <c r="A31" s="4" t="s">
        <v>224</v>
      </c>
      <c r="B31" s="4" t="s">
        <v>73</v>
      </c>
      <c r="C31" s="4" t="s">
        <v>225</v>
      </c>
      <c r="D31" s="4" t="s">
        <v>226</v>
      </c>
      <c r="E31" s="4" t="s">
        <v>227</v>
      </c>
      <c r="F31" s="4" t="s">
        <v>228</v>
      </c>
      <c r="G31" s="4" t="s">
        <v>117</v>
      </c>
      <c r="H31" s="4" t="s">
        <v>229</v>
      </c>
      <c r="I31" s="4" t="s">
        <v>230</v>
      </c>
      <c r="J31" s="4">
        <v>0.14</v>
      </c>
      <c r="K31" s="4">
        <v>0.078</v>
      </c>
      <c r="L31" s="4">
        <v>0.173</v>
      </c>
      <c r="M31" s="4">
        <v>0.388</v>
      </c>
      <c r="N31" s="4">
        <v>2.8</v>
      </c>
      <c r="O31" s="4">
        <v>7</v>
      </c>
      <c r="P31" s="4">
        <v>16.1</v>
      </c>
      <c r="Q31" s="4">
        <v>0.031</v>
      </c>
      <c r="R31" s="4">
        <v>1.2</v>
      </c>
      <c r="S31" s="4" t="s">
        <v>67</v>
      </c>
    </row>
    <row r="32" spans="1:19">
      <c r="A32" s="4" t="s">
        <v>231</v>
      </c>
      <c r="B32" s="4" t="s">
        <v>73</v>
      </c>
      <c r="C32" s="4" t="s">
        <v>232</v>
      </c>
      <c r="D32" s="4" t="s">
        <v>233</v>
      </c>
      <c r="E32" s="4" t="s">
        <v>234</v>
      </c>
      <c r="F32" s="4" t="s">
        <v>235</v>
      </c>
      <c r="G32" s="4" t="s">
        <v>236</v>
      </c>
      <c r="H32" s="4" t="s">
        <v>237</v>
      </c>
      <c r="I32" s="4" t="s">
        <v>238</v>
      </c>
      <c r="J32" s="4">
        <v>0.14</v>
      </c>
      <c r="K32" s="4">
        <v>0.047</v>
      </c>
      <c r="L32" s="4">
        <v>0.104</v>
      </c>
      <c r="M32" s="4">
        <v>0.233</v>
      </c>
      <c r="N32" s="4">
        <v>2.8</v>
      </c>
      <c r="O32" s="4">
        <v>7</v>
      </c>
      <c r="P32" s="4">
        <v>16.1</v>
      </c>
      <c r="Q32" s="4">
        <v>0.018</v>
      </c>
      <c r="R32" s="4">
        <v>1.2</v>
      </c>
      <c r="S32" s="4" t="s">
        <v>67</v>
      </c>
    </row>
  </sheetData>
  <mergeCells count="1">
    <mergeCell ref="A1:S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0"/>
  <sheetViews>
    <sheetView showGridLines="0" workbookViewId="0"/>
  </sheetViews>
  <sheetFormatPr defaultRowHeight="15"/>
  <cols>
    <col min="1" max="1" width="8.7109375" customWidth="1"/>
    <col min="2" max="2" width="32.7109375" customWidth="1"/>
    <col min="3" max="3" width="12.7109375" customWidth="1"/>
    <col min="4" max="4" width="15.7109375" customWidth="1"/>
    <col min="5" max="5" width="18.7109375" customWidth="1"/>
    <col min="6" max="6" width="50.7109375" customWidth="1"/>
  </cols>
  <sheetData>
    <row r="1" spans="1:6">
      <c r="A1" s="1" t="s">
        <v>239</v>
      </c>
      <c r="B1" s="1"/>
      <c r="C1" s="1"/>
      <c r="D1" s="1"/>
      <c r="E1" s="1"/>
      <c r="F1" s="1"/>
    </row>
    <row r="5" spans="1:6">
      <c r="A5" s="3" t="s">
        <v>240</v>
      </c>
      <c r="B5" s="3" t="s">
        <v>241</v>
      </c>
      <c r="C5" s="3" t="s">
        <v>242</v>
      </c>
      <c r="D5" s="3" t="s">
        <v>5</v>
      </c>
      <c r="E5" s="3" t="s">
        <v>7</v>
      </c>
      <c r="F5" s="3" t="s">
        <v>8</v>
      </c>
    </row>
    <row r="6" spans="1:6">
      <c r="A6" s="4">
        <v>1</v>
      </c>
      <c r="B6" s="4" t="s">
        <v>14</v>
      </c>
      <c r="C6" s="4" t="s">
        <v>13</v>
      </c>
      <c r="D6" s="4">
        <v>0.163</v>
      </c>
      <c r="E6" s="4" t="s">
        <v>15</v>
      </c>
      <c r="F6" s="4" t="s">
        <v>16</v>
      </c>
    </row>
    <row r="7" spans="1:6">
      <c r="A7" s="4">
        <v>2</v>
      </c>
      <c r="B7" s="4" t="s">
        <v>10</v>
      </c>
      <c r="C7" s="4" t="s">
        <v>9</v>
      </c>
      <c r="D7" s="4">
        <v>0.153</v>
      </c>
      <c r="E7" s="4" t="s">
        <v>11</v>
      </c>
      <c r="F7" s="4" t="s">
        <v>12</v>
      </c>
    </row>
    <row r="8" spans="1:6">
      <c r="A8" s="4">
        <v>3</v>
      </c>
      <c r="B8" s="4" t="s">
        <v>113</v>
      </c>
      <c r="C8" s="4" t="s">
        <v>111</v>
      </c>
      <c r="D8" s="4">
        <v>0.137</v>
      </c>
      <c r="E8" s="4" t="s">
        <v>117</v>
      </c>
      <c r="F8" s="4" t="s">
        <v>118</v>
      </c>
    </row>
    <row r="9" spans="1:6">
      <c r="A9" s="4">
        <v>4</v>
      </c>
      <c r="B9" s="4" t="s">
        <v>26</v>
      </c>
      <c r="C9" s="4" t="s">
        <v>25</v>
      </c>
      <c r="D9" s="4">
        <v>0.125</v>
      </c>
      <c r="E9" s="4" t="s">
        <v>27</v>
      </c>
      <c r="F9" s="4" t="s">
        <v>28</v>
      </c>
    </row>
    <row r="10" spans="1:6">
      <c r="A10" s="4">
        <v>5</v>
      </c>
      <c r="B10" s="4" t="s">
        <v>30</v>
      </c>
      <c r="C10" s="4" t="s">
        <v>29</v>
      </c>
      <c r="D10" s="4">
        <v>0.125</v>
      </c>
      <c r="E10" s="4" t="s">
        <v>31</v>
      </c>
      <c r="F10" s="4" t="s">
        <v>32</v>
      </c>
    </row>
    <row r="11" spans="1:6">
      <c r="A11" s="4">
        <v>6</v>
      </c>
      <c r="B11" s="4" t="s">
        <v>22</v>
      </c>
      <c r="C11" s="4" t="s">
        <v>21</v>
      </c>
      <c r="D11" s="4">
        <v>0.115</v>
      </c>
      <c r="E11" s="4" t="s">
        <v>23</v>
      </c>
      <c r="F11" s="4" t="s">
        <v>24</v>
      </c>
    </row>
    <row r="12" spans="1:6">
      <c r="A12" s="4">
        <v>7</v>
      </c>
      <c r="B12" s="4" t="s">
        <v>38</v>
      </c>
      <c r="C12" s="4" t="s">
        <v>37</v>
      </c>
      <c r="D12" s="4">
        <v>0.105</v>
      </c>
      <c r="E12" s="4" t="s">
        <v>39</v>
      </c>
      <c r="F12" s="4" t="s">
        <v>40</v>
      </c>
    </row>
    <row r="13" spans="1:6">
      <c r="A13" s="4">
        <v>8</v>
      </c>
      <c r="B13" s="4" t="s">
        <v>42</v>
      </c>
      <c r="C13" s="4" t="s">
        <v>41</v>
      </c>
      <c r="D13" s="4">
        <v>0.102</v>
      </c>
      <c r="E13" s="4" t="s">
        <v>43</v>
      </c>
      <c r="F13" s="4" t="s">
        <v>44</v>
      </c>
    </row>
    <row r="14" spans="1:6">
      <c r="A14" s="4">
        <v>9</v>
      </c>
      <c r="B14" s="4" t="s">
        <v>34</v>
      </c>
      <c r="C14" s="4" t="s">
        <v>33</v>
      </c>
      <c r="D14" s="4">
        <v>0.093</v>
      </c>
      <c r="E14" s="4" t="s">
        <v>35</v>
      </c>
      <c r="F14" s="4" t="s">
        <v>36</v>
      </c>
    </row>
    <row r="15" spans="1:6">
      <c r="A15" s="4">
        <v>10</v>
      </c>
      <c r="B15" s="4" t="s">
        <v>136</v>
      </c>
      <c r="C15" s="4" t="s">
        <v>135</v>
      </c>
      <c r="D15" s="4">
        <v>0.089</v>
      </c>
      <c r="E15" s="4" t="s">
        <v>43</v>
      </c>
      <c r="F15" s="4" t="s">
        <v>140</v>
      </c>
    </row>
    <row r="16" spans="1:6">
      <c r="A16" s="4">
        <v>11</v>
      </c>
      <c r="B16" s="4" t="s">
        <v>18</v>
      </c>
      <c r="C16" s="4" t="s">
        <v>17</v>
      </c>
      <c r="D16" s="4">
        <v>0.08500000000000001</v>
      </c>
      <c r="E16" s="4" t="s">
        <v>19</v>
      </c>
      <c r="F16" s="4" t="s">
        <v>20</v>
      </c>
    </row>
    <row r="17" spans="1:6">
      <c r="A17" s="4">
        <v>12</v>
      </c>
      <c r="B17" s="4" t="s">
        <v>128</v>
      </c>
      <c r="C17" s="4" t="s">
        <v>127</v>
      </c>
      <c r="D17" s="4">
        <v>0.08500000000000001</v>
      </c>
      <c r="E17" s="4" t="s">
        <v>132</v>
      </c>
      <c r="F17" s="4" t="s">
        <v>133</v>
      </c>
    </row>
    <row r="18" spans="1:6">
      <c r="A18" s="4">
        <v>13</v>
      </c>
      <c r="B18" s="4" t="s">
        <v>175</v>
      </c>
      <c r="C18" s="4" t="s">
        <v>174</v>
      </c>
      <c r="D18" s="4">
        <v>0.063</v>
      </c>
      <c r="E18" s="4" t="s">
        <v>179</v>
      </c>
      <c r="F18" s="4" t="s">
        <v>180</v>
      </c>
    </row>
    <row r="19" spans="1:6">
      <c r="A19" s="4">
        <v>14</v>
      </c>
      <c r="B19" s="4" t="s">
        <v>152</v>
      </c>
      <c r="C19" s="4" t="s">
        <v>151</v>
      </c>
      <c r="D19" s="4">
        <v>0.059</v>
      </c>
      <c r="E19" s="4" t="s">
        <v>15</v>
      </c>
      <c r="F19" s="4" t="s">
        <v>156</v>
      </c>
    </row>
    <row r="20" spans="1:6">
      <c r="A20" s="4">
        <v>15</v>
      </c>
      <c r="B20" s="4" t="s">
        <v>121</v>
      </c>
      <c r="C20" s="4" t="s">
        <v>120</v>
      </c>
      <c r="D20" s="4">
        <v>0.058</v>
      </c>
      <c r="E20" s="4" t="s">
        <v>11</v>
      </c>
      <c r="F20" s="4" t="s">
        <v>125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0"/>
  <sheetViews>
    <sheetView showGridLines="0" workbookViewId="0"/>
  </sheetViews>
  <sheetFormatPr defaultRowHeight="15"/>
  <cols>
    <col min="1" max="1" width="8.7109375" customWidth="1"/>
    <col min="2" max="2" width="32.7109375" customWidth="1"/>
    <col min="3" max="3" width="12.7109375" customWidth="1"/>
    <col min="4" max="5" width="18.7109375" customWidth="1"/>
    <col min="6" max="6" width="50.7109375" customWidth="1"/>
  </cols>
  <sheetData>
    <row r="1" spans="1:6">
      <c r="A1" s="1" t="s">
        <v>243</v>
      </c>
      <c r="B1" s="1"/>
      <c r="C1" s="1"/>
      <c r="D1" s="1"/>
      <c r="E1" s="1"/>
      <c r="F1" s="1"/>
    </row>
    <row r="5" spans="1:6">
      <c r="A5" s="3" t="s">
        <v>240</v>
      </c>
      <c r="B5" s="3" t="s">
        <v>241</v>
      </c>
      <c r="C5" s="3" t="s">
        <v>242</v>
      </c>
      <c r="D5" s="3" t="s">
        <v>6</v>
      </c>
      <c r="E5" s="3" t="s">
        <v>7</v>
      </c>
      <c r="F5" s="3" t="s">
        <v>8</v>
      </c>
    </row>
    <row r="6" spans="1:6">
      <c r="A6" s="4">
        <v>1</v>
      </c>
      <c r="B6" s="4" t="s">
        <v>18</v>
      </c>
      <c r="C6" s="4" t="s">
        <v>17</v>
      </c>
      <c r="D6" s="4">
        <v>26.1</v>
      </c>
      <c r="E6" s="4" t="s">
        <v>19</v>
      </c>
      <c r="F6" s="4" t="s">
        <v>20</v>
      </c>
    </row>
    <row r="7" spans="1:6">
      <c r="A7" s="4">
        <v>2</v>
      </c>
      <c r="B7" s="4" t="s">
        <v>46</v>
      </c>
      <c r="C7" s="4" t="s">
        <v>45</v>
      </c>
      <c r="D7" s="4">
        <v>26.1</v>
      </c>
      <c r="E7" s="4" t="s">
        <v>39</v>
      </c>
      <c r="F7" s="4" t="s">
        <v>47</v>
      </c>
    </row>
    <row r="8" spans="1:6">
      <c r="A8" s="4">
        <v>3</v>
      </c>
      <c r="B8" s="4" t="s">
        <v>22</v>
      </c>
      <c r="C8" s="4" t="s">
        <v>21</v>
      </c>
      <c r="D8" s="4">
        <v>20.7</v>
      </c>
      <c r="E8" s="4" t="s">
        <v>23</v>
      </c>
      <c r="F8" s="4" t="s">
        <v>24</v>
      </c>
    </row>
    <row r="9" spans="1:6">
      <c r="A9" s="4">
        <v>4</v>
      </c>
      <c r="B9" s="4" t="s">
        <v>121</v>
      </c>
      <c r="C9" s="4" t="s">
        <v>120</v>
      </c>
      <c r="D9" s="4">
        <v>20.7</v>
      </c>
      <c r="E9" s="4" t="s">
        <v>11</v>
      </c>
      <c r="F9" s="4" t="s">
        <v>125</v>
      </c>
    </row>
    <row r="10" spans="1:6">
      <c r="A10" s="4">
        <v>5</v>
      </c>
      <c r="B10" s="4" t="s">
        <v>30</v>
      </c>
      <c r="C10" s="4" t="s">
        <v>29</v>
      </c>
      <c r="D10" s="4">
        <v>19.2</v>
      </c>
      <c r="E10" s="4" t="s">
        <v>31</v>
      </c>
      <c r="F10" s="4" t="s">
        <v>32</v>
      </c>
    </row>
    <row r="11" spans="1:6">
      <c r="A11" s="4">
        <v>6</v>
      </c>
      <c r="B11" s="4" t="s">
        <v>34</v>
      </c>
      <c r="C11" s="4" t="s">
        <v>33</v>
      </c>
      <c r="D11" s="4">
        <v>17.8</v>
      </c>
      <c r="E11" s="4" t="s">
        <v>35</v>
      </c>
      <c r="F11" s="4" t="s">
        <v>36</v>
      </c>
    </row>
    <row r="12" spans="1:6">
      <c r="A12" s="4">
        <v>7</v>
      </c>
      <c r="B12" s="4" t="s">
        <v>42</v>
      </c>
      <c r="C12" s="4" t="s">
        <v>41</v>
      </c>
      <c r="D12" s="4">
        <v>17.2</v>
      </c>
      <c r="E12" s="4" t="s">
        <v>43</v>
      </c>
      <c r="F12" s="4" t="s">
        <v>44</v>
      </c>
    </row>
    <row r="13" spans="1:6">
      <c r="A13" s="4">
        <v>8</v>
      </c>
      <c r="B13" s="4" t="s">
        <v>128</v>
      </c>
      <c r="C13" s="4" t="s">
        <v>127</v>
      </c>
      <c r="D13" s="4">
        <v>15.8</v>
      </c>
      <c r="E13" s="4" t="s">
        <v>132</v>
      </c>
      <c r="F13" s="4" t="s">
        <v>133</v>
      </c>
    </row>
    <row r="14" spans="1:6">
      <c r="A14" s="4">
        <v>9</v>
      </c>
      <c r="B14" s="4" t="s">
        <v>159</v>
      </c>
      <c r="C14" s="4" t="s">
        <v>158</v>
      </c>
      <c r="D14" s="4">
        <v>15.8</v>
      </c>
      <c r="E14" s="4" t="s">
        <v>163</v>
      </c>
      <c r="F14" s="4" t="s">
        <v>164</v>
      </c>
    </row>
    <row r="15" spans="1:6">
      <c r="A15" s="4">
        <v>10</v>
      </c>
      <c r="B15" s="4" t="s">
        <v>144</v>
      </c>
      <c r="C15" s="4" t="s">
        <v>142</v>
      </c>
      <c r="D15" s="4">
        <v>13.5</v>
      </c>
      <c r="E15" s="4" t="s">
        <v>148</v>
      </c>
      <c r="F15" s="4" t="s">
        <v>149</v>
      </c>
    </row>
    <row r="16" spans="1:6">
      <c r="A16" s="4">
        <v>11</v>
      </c>
      <c r="B16" s="4" t="s">
        <v>14</v>
      </c>
      <c r="C16" s="4" t="s">
        <v>13</v>
      </c>
      <c r="D16" s="4">
        <v>12.2</v>
      </c>
      <c r="E16" s="4" t="s">
        <v>15</v>
      </c>
      <c r="F16" s="4" t="s">
        <v>16</v>
      </c>
    </row>
    <row r="17" spans="1:6">
      <c r="A17" s="4">
        <v>12</v>
      </c>
      <c r="B17" s="4" t="s">
        <v>136</v>
      </c>
      <c r="C17" s="4" t="s">
        <v>135</v>
      </c>
      <c r="D17" s="4">
        <v>11.7</v>
      </c>
      <c r="E17" s="4" t="s">
        <v>43</v>
      </c>
      <c r="F17" s="4" t="s">
        <v>140</v>
      </c>
    </row>
    <row r="18" spans="1:6">
      <c r="A18" s="4">
        <v>13</v>
      </c>
      <c r="B18" s="4" t="s">
        <v>152</v>
      </c>
      <c r="C18" s="4" t="s">
        <v>151</v>
      </c>
      <c r="D18" s="4">
        <v>11.7</v>
      </c>
      <c r="E18" s="4" t="s">
        <v>15</v>
      </c>
      <c r="F18" s="4" t="s">
        <v>156</v>
      </c>
    </row>
    <row r="19" spans="1:6">
      <c r="A19" s="4">
        <v>14</v>
      </c>
      <c r="B19" s="4" t="s">
        <v>10</v>
      </c>
      <c r="C19" s="4" t="s">
        <v>9</v>
      </c>
      <c r="D19" s="4">
        <v>11.2</v>
      </c>
      <c r="E19" s="4" t="s">
        <v>11</v>
      </c>
      <c r="F19" s="4" t="s">
        <v>12</v>
      </c>
    </row>
    <row r="20" spans="1:6">
      <c r="A20" s="4">
        <v>15</v>
      </c>
      <c r="B20" s="4" t="s">
        <v>26</v>
      </c>
      <c r="C20" s="4" t="s">
        <v>25</v>
      </c>
      <c r="D20" s="4">
        <v>8.699999999999999</v>
      </c>
      <c r="E20" s="4" t="s">
        <v>27</v>
      </c>
      <c r="F20" s="4" t="s">
        <v>28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Risk Control Centre</vt:lpstr>
      <vt:lpstr>Full Risk Register</vt:lpstr>
      <vt:lpstr>QCRA Tornado</vt:lpstr>
      <vt:lpstr>QSRA Tornado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2026-05-05T18:08:01Z</dcterms:created>
  <dcterms:modified xsi:type="dcterms:W3CDTF">2026-05-05T18:08:01Z</dcterms:modified>
</cp:coreProperties>
</file>