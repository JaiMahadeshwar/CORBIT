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Summary" sheetId="1" state="visible" r:id="rId1"/>
    <sheet xmlns:r="http://schemas.openxmlformats.org/officeDocument/2006/relationships" name="Primary Cost Estimate" sheetId="2" state="visible" r:id="rId2"/>
    <sheet xmlns:r="http://schemas.openxmlformats.org/officeDocument/2006/relationships" name="Class 1 Estimate" sheetId="3" state="visible" r:id="rId3"/>
    <sheet xmlns:r="http://schemas.openxmlformats.org/officeDocument/2006/relationships" name="Class 2 Estimate" sheetId="4" state="visible" r:id="rId4"/>
    <sheet xmlns:r="http://schemas.openxmlformats.org/officeDocument/2006/relationships" name="Class 3 Estimate" sheetId="5" state="visible" r:id="rId5"/>
    <sheet xmlns:r="http://schemas.openxmlformats.org/officeDocument/2006/relationships" name="Class 4 Estimate" sheetId="6" state="visible" r:id="rId6"/>
    <sheet xmlns:r="http://schemas.openxmlformats.org/officeDocument/2006/relationships" name="Class 5 Estimate" sheetId="7" state="visible" r:id="rId7"/>
    <sheet xmlns:r="http://schemas.openxmlformats.org/officeDocument/2006/relationships" name="Level 1 Schedule" sheetId="8" state="visible" r:id="rId8"/>
    <sheet xmlns:r="http://schemas.openxmlformats.org/officeDocument/2006/relationships" name="Level 2 Schedule" sheetId="9" state="visible" r:id="rId9"/>
    <sheet xmlns:r="http://schemas.openxmlformats.org/officeDocument/2006/relationships" name="Level 3 Schedule" sheetId="10" state="visible" r:id="rId10"/>
    <sheet xmlns:r="http://schemas.openxmlformats.org/officeDocument/2006/relationships" name="Level 4 Schedule" sheetId="11" state="visible" r:id="rId11"/>
    <sheet xmlns:r="http://schemas.openxmlformats.org/officeDocument/2006/relationships" name="Level 5 Schedule" sheetId="12" state="visible" r:id="rId12"/>
    <sheet xmlns:r="http://schemas.openxmlformats.org/officeDocument/2006/relationships" name="Risk Register" sheetId="13" state="visible" r:id="rId13"/>
    <sheet xmlns:r="http://schemas.openxmlformats.org/officeDocument/2006/relationships" name="Monte Carlo P-Curve" sheetId="14" state="visible" r:id="rId14"/>
    <sheet xmlns:r="http://schemas.openxmlformats.org/officeDocument/2006/relationships" name="Tornado Drivers" sheetId="15" state="visible" r:id="rId15"/>
    <sheet xmlns:r="http://schemas.openxmlformats.org/officeDocument/2006/relationships" name="Scenarios" sheetId="16" state="visible" r:id="rId16"/>
    <sheet xmlns:r="http://schemas.openxmlformats.org/officeDocument/2006/relationships" name="Benchmarks" sheetId="17" state="visible" r:id="rId17"/>
    <sheet xmlns:r="http://schemas.openxmlformats.org/officeDocument/2006/relationships" name="Demo Scrip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111F"/>
      </patternFill>
    </fill>
  </fills>
  <borders count="2">
    <border>
      <left/>
      <right/>
      <top/>
      <bottom/>
      <diagonal/>
    </border>
    <border>
      <left style="thin">
        <color rgb="0026384F"/>
      </left>
      <right style="thin">
        <color rgb="0026384F"/>
      </right>
      <top style="thin">
        <color rgb="0026384F"/>
      </top>
      <bottom style="thin">
        <color rgb="0026384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QCRA/QSRA P-Curve</a:t>
            </a:r>
          </a:p>
        </rich>
      </tx>
    </title>
    <plotArea>
      <lineChart>
        <grouping val="standard"/>
        <ser>
          <idx val="0"/>
          <order val="0"/>
          <tx>
            <strRef>
              <f>'Monte Carlo P-Curve'!B1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 P-Curve'!$A$2:$A$14</f>
            </numRef>
          </cat>
          <val>
            <numRef>
              <f>'Monte Carlo P-Curve'!$B$2:$B$14</f>
            </numRef>
          </val>
        </ser>
        <ser>
          <idx val="1"/>
          <order val="1"/>
          <tx>
            <strRef>
              <f>'Monte Carlo P-Curve'!C1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 P-Curve'!$A$2:$A$14</f>
            </numRef>
          </cat>
          <val>
            <numRef>
              <f>'Monte Carlo P-Curve'!$C$2:$C$14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Drivers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'Tornado Drivers'!G1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'Tornado Drivers'!$B$2:$B$11</f>
            </numRef>
          </cat>
          <val>
            <numRef>
              <f>'Tornado Drivers'!$G$2:$G$11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</t>
        </is>
      </c>
      <c r="B2" s="2" t="inlineStr">
        <is>
          <t>2026-05-02T19:07:50.482281</t>
        </is>
      </c>
    </row>
    <row r="3">
      <c r="A3" s="2" t="inlineStr">
        <is>
          <t>Version</t>
        </is>
      </c>
      <c r="B3" s="2" t="inlineStr">
        <is>
          <t>v23 Real Deal Edition</t>
        </is>
      </c>
    </row>
    <row r="4">
      <c r="A4" s="2" t="inlineStr">
        <is>
          <t>Title</t>
        </is>
      </c>
      <c r="B4" s="2" t="inlineStr">
        <is>
          <t>AI Data Centre Campus</t>
        </is>
      </c>
    </row>
    <row r="5">
      <c r="A5" s="2" t="inlineStr">
        <is>
          <t>Client</t>
        </is>
      </c>
      <c r="B5" s="2" t="inlineStr">
        <is>
          <t>Microsoft</t>
        </is>
      </c>
    </row>
    <row r="6">
      <c r="A6" s="2" t="inlineStr">
        <is>
          <t>Executive Summary</t>
        </is>
      </c>
      <c r="B6" s="2" t="inlineStr">
        <is>
          <t>AI Data Centre Campus has been classified as Digital Infrastructure / Hyperscale Data Centre in Saudi Arabia / GCC. CASEY estimates $5.6B P50 cost, $4.5B to $7.3B range, 46 month baseline, Medium risk and 64% confidence under the Base scenario.</t>
        </is>
      </c>
    </row>
    <row r="7">
      <c r="A7" s="2" t="inlineStr">
        <is>
          <t>Mode</t>
        </is>
      </c>
      <c r="B7" s="2" t="inlineStr">
        <is>
          <t>Earth</t>
        </is>
      </c>
    </row>
    <row r="8">
      <c r="A8" s="2" t="inlineStr">
        <is>
          <t>Subsector</t>
        </is>
      </c>
      <c r="B8" s="2" t="inlineStr">
        <is>
          <t>Digital Infrastructure / Hyperscale Data Centre</t>
        </is>
      </c>
    </row>
    <row r="9">
      <c r="A9" s="2" t="inlineStr">
        <is>
          <t>Location</t>
        </is>
      </c>
      <c r="B9" s="2" t="inlineStr">
        <is>
          <t>Saudi Arabia / GCC</t>
        </is>
      </c>
    </row>
    <row r="10">
      <c r="A10" s="2" t="inlineStr">
        <is>
          <t>Scenario</t>
        </is>
      </c>
      <c r="B10" s="2" t="inlineStr">
        <is>
          <t>Base</t>
        </is>
      </c>
    </row>
    <row r="11">
      <c r="A11" s="2" t="inlineStr">
        <is>
          <t>Cost P10</t>
        </is>
      </c>
      <c r="B11" s="2" t="inlineStr">
        <is>
          <t>$4.5B</t>
        </is>
      </c>
    </row>
    <row r="12">
      <c r="A12" s="2" t="inlineStr">
        <is>
          <t>Cost P50</t>
        </is>
      </c>
      <c r="B12" s="2" t="inlineStr">
        <is>
          <t>$5.6B</t>
        </is>
      </c>
    </row>
    <row r="13">
      <c r="A13" s="2" t="inlineStr">
        <is>
          <t>Cost P90</t>
        </is>
      </c>
      <c r="B13" s="2" t="inlineStr">
        <is>
          <t>$7.3B</t>
        </is>
      </c>
    </row>
    <row r="14">
      <c r="A14" s="2" t="inlineStr">
        <is>
          <t>Schedule</t>
        </is>
      </c>
      <c r="B14" s="2" t="inlineStr">
        <is>
          <t>46 months</t>
        </is>
      </c>
    </row>
    <row r="15">
      <c r="A15" s="2" t="inlineStr">
        <is>
          <t>QCRA P80</t>
        </is>
      </c>
      <c r="B15" s="2" t="inlineStr">
        <is>
          <t>$8.4B</t>
        </is>
      </c>
    </row>
    <row r="16">
      <c r="A16" s="2" t="inlineStr">
        <is>
          <t>QSRA P80</t>
        </is>
      </c>
      <c r="B16" s="2" t="n">
        <v>58.08</v>
      </c>
    </row>
    <row r="17">
      <c r="A17" s="2" t="inlineStr">
        <is>
          <t>Risk</t>
        </is>
      </c>
      <c r="B17" s="2" t="inlineStr">
        <is>
          <t>Medium</t>
        </is>
      </c>
    </row>
    <row r="18">
      <c r="A18" s="2" t="inlineStr">
        <is>
          <t>Confidence</t>
        </is>
      </c>
      <c r="B18" s="2" t="inlineStr">
        <is>
          <t>64%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CBS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Basis</t>
        </is>
      </c>
      <c r="E1" s="1" t="inlineStr">
        <is>
          <t>P10 BN</t>
        </is>
      </c>
      <c r="F1" s="1" t="inlineStr">
        <is>
          <t>P50 BN</t>
        </is>
      </c>
      <c r="G1" s="1" t="inlineStr">
        <is>
          <t>P90 BN</t>
        </is>
      </c>
      <c r="H1" s="1" t="inlineStr">
        <is>
          <t>Impact Basis</t>
        </is>
      </c>
    </row>
    <row r="2">
      <c r="A2" s="2" t="inlineStr">
        <is>
          <t>01.01</t>
        </is>
      </c>
      <c r="B2" s="2" t="inlineStr">
        <is>
          <t>Site Preparation / Enabling</t>
        </is>
      </c>
      <c r="C2" s="2" t="inlineStr">
        <is>
          <t>Direct</t>
        </is>
      </c>
      <c r="D2" s="2" t="inlineStr">
        <is>
          <t>Demolition, enabling, logistics and access</t>
        </is>
      </c>
      <c r="E2" s="2" t="n">
        <v>0.271</v>
      </c>
      <c r="F2" s="2" t="n">
        <v>0.339</v>
      </c>
      <c r="G2" s="2" t="n">
        <v>0.44</v>
      </c>
      <c r="H2" s="2" t="inlineStr">
        <is>
          <t>Site Preparation / Enabling priced as 6.0% of P50 from sector template, location factor 1.35, scale factor 1.00, complexity factor 1.10.</t>
        </is>
      </c>
    </row>
    <row r="3">
      <c r="A3" s="2" t="inlineStr">
        <is>
          <t>01.02</t>
        </is>
      </c>
      <c r="B3" s="2" t="inlineStr">
        <is>
          <t>Substructure / Foundations</t>
        </is>
      </c>
      <c r="C3" s="2" t="inlineStr">
        <is>
          <t>Direct</t>
        </is>
      </c>
      <c r="D3" s="2" t="inlineStr">
        <is>
          <t>Piling, groundworks, retaining and foundations</t>
        </is>
      </c>
      <c r="E3" s="2" t="n">
        <v>0.361</v>
      </c>
      <c r="F3" s="2" t="n">
        <v>0.451</v>
      </c>
      <c r="G3" s="2" t="n">
        <v>0.587</v>
      </c>
      <c r="H3" s="2" t="inlineStr">
        <is>
          <t>Substructure / Foundations priced as 8.0% of P50 from sector template, location factor 1.35, scale factor 1.00, complexity factor 1.10.</t>
        </is>
      </c>
    </row>
    <row r="4">
      <c r="A4" s="2" t="inlineStr">
        <is>
          <t>01.03</t>
        </is>
      </c>
      <c r="B4" s="2" t="inlineStr">
        <is>
          <t>Superstructure / Civil Works</t>
        </is>
      </c>
      <c r="C4" s="2" t="inlineStr">
        <is>
          <t>Direct</t>
        </is>
      </c>
      <c r="D4" s="2" t="inlineStr">
        <is>
          <t>Frame, civils, primary structures</t>
        </is>
      </c>
      <c r="E4" s="2" t="n">
        <v>0.632</v>
      </c>
      <c r="F4" s="2" t="n">
        <v>0.79</v>
      </c>
      <c r="G4" s="2" t="n">
        <v>1.027</v>
      </c>
      <c r="H4" s="2" t="inlineStr">
        <is>
          <t>Superstructure / Civil Works priced as 14.0% of P50 from sector template, location factor 1.35, scale factor 1.00, complexity factor 1.10.</t>
        </is>
      </c>
    </row>
    <row r="5">
      <c r="A5" s="2" t="inlineStr">
        <is>
          <t>01.04</t>
        </is>
      </c>
      <c r="B5" s="2" t="inlineStr">
        <is>
          <t>MEP / Systems / Utilities</t>
        </is>
      </c>
      <c r="C5" s="2" t="inlineStr">
        <is>
          <t>Direct</t>
        </is>
      </c>
      <c r="D5" s="2" t="inlineStr">
        <is>
          <t>Mechanical, electrical, controls and utilities</t>
        </is>
      </c>
      <c r="E5" s="2" t="n">
        <v>0.632</v>
      </c>
      <c r="F5" s="2" t="n">
        <v>0.79</v>
      </c>
      <c r="G5" s="2" t="n">
        <v>1.027</v>
      </c>
      <c r="H5" s="2" t="inlineStr">
        <is>
          <t>MEP / Systems / Utilities priced as 14.0% of P50 from sector template, location factor 1.35, scale factor 1.00, complexity factor 1.10.</t>
        </is>
      </c>
    </row>
    <row r="6">
      <c r="A6" s="2" t="inlineStr">
        <is>
          <t>01.05</t>
        </is>
      </c>
      <c r="B6" s="2" t="inlineStr">
        <is>
          <t>Specialist Equipment / Fit-Out</t>
        </is>
      </c>
      <c r="C6" s="2" t="inlineStr">
        <is>
          <t>Direct</t>
        </is>
      </c>
      <c r="D6" s="2" t="inlineStr">
        <is>
          <t>Permanent equipment and specialist fit-out</t>
        </is>
      </c>
      <c r="E6" s="2" t="n">
        <v>0.542</v>
      </c>
      <c r="F6" s="2" t="n">
        <v>0.677</v>
      </c>
      <c r="G6" s="2" t="n">
        <v>0.88</v>
      </c>
      <c r="H6" s="2" t="inlineStr">
        <is>
          <t>Specialist Equipment / Fit-Out priced as 12.0% of P50 from sector template, location factor 1.35, scale factor 1.00, complexity factor 1.10.</t>
        </is>
      </c>
    </row>
    <row r="7">
      <c r="A7" s="2" t="inlineStr">
        <is>
          <t>01.06</t>
        </is>
      </c>
      <c r="B7" s="2" t="inlineStr">
        <is>
          <t>Data Halls / White Space</t>
        </is>
      </c>
      <c r="C7" s="2" t="inlineStr">
        <is>
          <t>Direct</t>
        </is>
      </c>
      <c r="D7" s="2" t="inlineStr">
        <is>
          <t>Server halls, fit-out and critical rooms</t>
        </is>
      </c>
      <c r="E7" s="2" t="n">
        <v>0.587</v>
      </c>
      <c r="F7" s="2" t="n">
        <v>0.734</v>
      </c>
      <c r="G7" s="2" t="n">
        <v>0.954</v>
      </c>
      <c r="H7" s="2" t="inlineStr">
        <is>
          <t>Data Halls / White Space priced as 13.0% of P50 from sector template, location factor 1.35, scale factor 1.00, complexity factor 1.10.</t>
        </is>
      </c>
    </row>
    <row r="8">
      <c r="A8" s="2" t="inlineStr">
        <is>
          <t>01.07</t>
        </is>
      </c>
      <c r="B8" s="2" t="inlineStr">
        <is>
          <t>Power Train / Substations</t>
        </is>
      </c>
      <c r="C8" s="2" t="inlineStr">
        <is>
          <t>Direct</t>
        </is>
      </c>
      <c r="D8" s="2" t="inlineStr">
        <is>
          <t>HV/MV gear, UPS, generators and substations</t>
        </is>
      </c>
      <c r="E8" s="2" t="n">
        <v>0.722</v>
      </c>
      <c r="F8" s="2" t="n">
        <v>0.903</v>
      </c>
      <c r="G8" s="2" t="n">
        <v>1.174</v>
      </c>
      <c r="H8" s="2" t="inlineStr">
        <is>
          <t>Power Train / Substations priced as 16.0% of P50 from sector template, location factor 1.35, scale factor 1.00, complexity factor 1.10.</t>
        </is>
      </c>
    </row>
    <row r="9">
      <c r="A9" s="2" t="inlineStr">
        <is>
          <t>01.08</t>
        </is>
      </c>
      <c r="B9" s="2" t="inlineStr">
        <is>
          <t>Cooling Systems</t>
        </is>
      </c>
      <c r="C9" s="2" t="inlineStr">
        <is>
          <t>Direct</t>
        </is>
      </c>
      <c r="D9" s="2" t="inlineStr">
        <is>
          <t>Chillers, heat rejection, CRAH/CRAC, water systems</t>
        </is>
      </c>
      <c r="E9" s="2" t="n">
        <v>0.542</v>
      </c>
      <c r="F9" s="2" t="n">
        <v>0.677</v>
      </c>
      <c r="G9" s="2" t="n">
        <v>0.88</v>
      </c>
      <c r="H9" s="2" t="inlineStr">
        <is>
          <t>Cooling Systems priced as 12.0% of P50 from sector template, location factor 1.35, scale factor 1.00, complexity factor 1.10.</t>
        </is>
      </c>
    </row>
    <row r="10">
      <c r="A10" s="2" t="inlineStr">
        <is>
          <t>01.09</t>
        </is>
      </c>
      <c r="B10" s="2" t="inlineStr">
        <is>
          <t>Direct Labour</t>
        </is>
      </c>
      <c r="C10" s="2" t="inlineStr">
        <is>
          <t>Direct</t>
        </is>
      </c>
      <c r="D10" s="2" t="inlineStr">
        <is>
          <t>Productivity, supervision and trade labour</t>
        </is>
      </c>
      <c r="E10" s="2" t="n">
        <v>0.406</v>
      </c>
      <c r="F10" s="2" t="n">
        <v>0.508</v>
      </c>
      <c r="G10" s="2" t="n">
        <v>0.66</v>
      </c>
      <c r="H10" s="2" t="inlineStr">
        <is>
          <t>Direct Labour priced as 9.0% of P50 from sector template, location factor 1.35, scale factor 1.00, complexity factor 1.10.</t>
        </is>
      </c>
    </row>
    <row r="11">
      <c r="A11" s="2" t="inlineStr">
        <is>
          <t>01.10</t>
        </is>
      </c>
      <c r="B11" s="2" t="inlineStr">
        <is>
          <t>Direct Materials</t>
        </is>
      </c>
      <c r="C11" s="2" t="inlineStr">
        <is>
          <t>Direct</t>
        </is>
      </c>
      <c r="D11" s="2" t="inlineStr">
        <is>
          <t>Concrete, steel, envelope, MEP materials</t>
        </is>
      </c>
      <c r="E11" s="2" t="n">
        <v>0.451</v>
      </c>
      <c r="F11" s="2" t="n">
        <v>0.5639999999999999</v>
      </c>
      <c r="G11" s="2" t="n">
        <v>0.734</v>
      </c>
      <c r="H11" s="2" t="inlineStr">
        <is>
          <t>Direct Materials priced as 10.0% of P50 from sector template, location factor 1.35, scale factor 1.00, complexity factor 1.10.</t>
        </is>
      </c>
    </row>
    <row r="12">
      <c r="A12" s="2" t="inlineStr">
        <is>
          <t>01.11</t>
        </is>
      </c>
      <c r="B12" s="2" t="inlineStr">
        <is>
          <t>Plant / Equipment</t>
        </is>
      </c>
      <c r="C12" s="2" t="inlineStr">
        <is>
          <t>Direct</t>
        </is>
      </c>
      <c r="D12" s="2" t="inlineStr">
        <is>
          <t>Cranes, heavy plant and site equipment</t>
        </is>
      </c>
      <c r="E12" s="2" t="n">
        <v>0.181</v>
      </c>
      <c r="F12" s="2" t="n">
        <v>0.226</v>
      </c>
      <c r="G12" s="2" t="n">
        <v>0.293</v>
      </c>
      <c r="H12" s="2" t="inlineStr">
        <is>
          <t>Plant / Equipment priced as 4.0% of P50 from sector template, location factor 1.35, scale factor 1.00, complexity factor 1.10.</t>
        </is>
      </c>
    </row>
    <row r="13">
      <c r="A13" s="2" t="inlineStr">
        <is>
          <t>02.01</t>
        </is>
      </c>
      <c r="B13" s="2" t="inlineStr">
        <is>
          <t>General Conditions / Prelims</t>
        </is>
      </c>
      <c r="C13" s="2" t="inlineStr">
        <is>
          <t>Indirect</t>
        </is>
      </c>
      <c r="D13" s="2" t="inlineStr">
        <is>
          <t>Site management, safety, offices and temporary services</t>
        </is>
      </c>
      <c r="E13" s="2" t="n">
        <v>0.316</v>
      </c>
      <c r="F13" s="2" t="n">
        <v>0.395</v>
      </c>
      <c r="G13" s="2" t="n">
        <v>0.514</v>
      </c>
      <c r="H13" s="2" t="inlineStr">
        <is>
          <t>General Conditions / Prelims priced as 7.0% of P50 from sector template, location factor 1.35, scale factor 1.00, complexity factor 1.10.</t>
        </is>
      </c>
    </row>
    <row r="14">
      <c r="A14" s="2" t="inlineStr">
        <is>
          <t>02.02</t>
        </is>
      </c>
      <c r="B14" s="2" t="inlineStr">
        <is>
          <t>Design / Professional Fees</t>
        </is>
      </c>
      <c r="C14" s="2" t="inlineStr">
        <is>
          <t>Indirect</t>
        </is>
      </c>
      <c r="D14" s="2" t="inlineStr">
        <is>
          <t>Design, QS, controls, assurance and consultants</t>
        </is>
      </c>
      <c r="E14" s="2" t="n">
        <v>0.316</v>
      </c>
      <c r="F14" s="2" t="n">
        <v>0.395</v>
      </c>
      <c r="G14" s="2" t="n">
        <v>0.514</v>
      </c>
      <c r="H14" s="2" t="inlineStr">
        <is>
          <t>Design / Professional Fees priced as 7.0% of P50 from sector template, location factor 1.35, scale factor 1.00, complexity factor 1.10.</t>
        </is>
      </c>
    </row>
    <row r="15">
      <c r="A15" s="2" t="inlineStr">
        <is>
          <t>02.03</t>
        </is>
      </c>
      <c r="B15" s="2" t="inlineStr">
        <is>
          <t>Permits / Insurance / Bonds</t>
        </is>
      </c>
      <c r="C15" s="2" t="inlineStr">
        <is>
          <t>Indirect</t>
        </is>
      </c>
      <c r="D15" s="2" t="inlineStr">
        <is>
          <t>Permits, inspections, legal, bonds and insurance</t>
        </is>
      </c>
      <c r="E15" s="2" t="n">
        <v>0.135</v>
      </c>
      <c r="F15" s="2" t="n">
        <v>0.169</v>
      </c>
      <c r="G15" s="2" t="n">
        <v>0.22</v>
      </c>
      <c r="H15" s="2" t="inlineStr">
        <is>
          <t>Permits / Insurance / Bonds priced as 3.0% of P50 from sector template, location factor 1.35, scale factor 1.00, complexity factor 1.10.</t>
        </is>
      </c>
    </row>
    <row r="16">
      <c r="A16" s="2" t="inlineStr">
        <is>
          <t>03.01</t>
        </is>
      </c>
      <c r="B16" s="2" t="inlineStr">
        <is>
          <t>QCRA Contingency</t>
        </is>
      </c>
      <c r="C16" s="2" t="inlineStr">
        <is>
          <t>Reserve</t>
        </is>
      </c>
      <c r="D16" s="2" t="inlineStr">
        <is>
          <t>Known-unknown risk allowance</t>
        </is>
      </c>
      <c r="E16" s="2" t="n">
        <v>0.271</v>
      </c>
      <c r="F16" s="2" t="n">
        <v>0.339</v>
      </c>
      <c r="G16" s="2" t="n">
        <v>0.44</v>
      </c>
      <c r="H16" s="2" t="inlineStr">
        <is>
          <t>QCRA Contingency priced as 6.0% of P50 from sector template, location factor 1.35, scale factor 1.00, complexity factor 1.10.</t>
        </is>
      </c>
    </row>
    <row r="17">
      <c r="A17" s="2" t="inlineStr">
        <is>
          <t>03.02</t>
        </is>
      </c>
      <c r="B17" s="2" t="inlineStr">
        <is>
          <t>Management Reserve</t>
        </is>
      </c>
      <c r="C17" s="2" t="inlineStr">
        <is>
          <t>Reserve</t>
        </is>
      </c>
      <c r="D17" s="2" t="inlineStr">
        <is>
          <t>Sponsor-held reserve</t>
        </is>
      </c>
      <c r="E17" s="2" t="n">
        <v>0.135</v>
      </c>
      <c r="F17" s="2" t="n">
        <v>0.169</v>
      </c>
      <c r="G17" s="2" t="n">
        <v>0.22</v>
      </c>
      <c r="H17" s="2" t="inlineStr">
        <is>
          <t>Management Reserve priced as 3.0% of P50 from sector template, location factor 1.35, scale factor 1.00, complexity factor 1.10.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1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0.305</v>
      </c>
      <c r="E2" s="2" t="n">
        <v>0.339</v>
      </c>
      <c r="F2" s="2" t="n">
        <v>0.39</v>
      </c>
      <c r="G2" s="2" t="inlineStr">
        <is>
          <t>65-100% definition maturity</t>
        </is>
      </c>
    </row>
    <row r="3">
      <c r="A3" s="2" t="inlineStr">
        <is>
          <t>1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0.406</v>
      </c>
      <c r="E3" s="2" t="n">
        <v>0.451</v>
      </c>
      <c r="F3" s="2" t="n">
        <v>0.519</v>
      </c>
      <c r="G3" s="2" t="inlineStr">
        <is>
          <t>65-100% definition maturity</t>
        </is>
      </c>
    </row>
    <row r="4">
      <c r="A4" s="2" t="inlineStr">
        <is>
          <t>1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0.711</v>
      </c>
      <c r="E4" s="2" t="n">
        <v>0.79</v>
      </c>
      <c r="F4" s="2" t="n">
        <v>0.908</v>
      </c>
      <c r="G4" s="2" t="inlineStr">
        <is>
          <t>65-100% definition maturity</t>
        </is>
      </c>
    </row>
    <row r="5">
      <c r="A5" s="2" t="inlineStr">
        <is>
          <t>1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0.711</v>
      </c>
      <c r="E5" s="2" t="n">
        <v>0.79</v>
      </c>
      <c r="F5" s="2" t="n">
        <v>0.908</v>
      </c>
      <c r="G5" s="2" t="inlineStr">
        <is>
          <t>65-100% definition maturity</t>
        </is>
      </c>
    </row>
    <row r="6">
      <c r="A6" s="2" t="inlineStr">
        <is>
          <t>1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0.609</v>
      </c>
      <c r="E6" s="2" t="n">
        <v>0.677</v>
      </c>
      <c r="F6" s="2" t="n">
        <v>0.779</v>
      </c>
      <c r="G6" s="2" t="inlineStr">
        <is>
          <t>65-100% definition maturity</t>
        </is>
      </c>
    </row>
    <row r="7">
      <c r="A7" s="2" t="inlineStr">
        <is>
          <t>1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0.661</v>
      </c>
      <c r="E7" s="2" t="n">
        <v>0.734</v>
      </c>
      <c r="F7" s="2" t="n">
        <v>0.844</v>
      </c>
      <c r="G7" s="2" t="inlineStr">
        <is>
          <t>65-100% definition maturity</t>
        </is>
      </c>
    </row>
    <row r="8">
      <c r="A8" s="2" t="inlineStr">
        <is>
          <t>1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0.8129999999999999</v>
      </c>
      <c r="E8" s="2" t="n">
        <v>0.903</v>
      </c>
      <c r="F8" s="2" t="n">
        <v>1.038</v>
      </c>
      <c r="G8" s="2" t="inlineStr">
        <is>
          <t>65-100% definition maturity</t>
        </is>
      </c>
    </row>
    <row r="9">
      <c r="A9" s="2" t="inlineStr">
        <is>
          <t>1</t>
        </is>
      </c>
      <c r="B9" s="2" t="inlineStr">
        <is>
          <t>01.08</t>
        </is>
      </c>
      <c r="C9" s="2" t="inlineStr">
        <is>
          <t>Cooling Systems</t>
        </is>
      </c>
      <c r="D9" s="2" t="n">
        <v>0.609</v>
      </c>
      <c r="E9" s="2" t="n">
        <v>0.677</v>
      </c>
      <c r="F9" s="2" t="n">
        <v>0.779</v>
      </c>
      <c r="G9" s="2" t="inlineStr">
        <is>
          <t>65-100% definition maturity</t>
        </is>
      </c>
    </row>
    <row r="10">
      <c r="A10" s="2" t="inlineStr">
        <is>
          <t>1</t>
        </is>
      </c>
      <c r="B10" s="2" t="inlineStr">
        <is>
          <t>01.09</t>
        </is>
      </c>
      <c r="C10" s="2" t="inlineStr">
        <is>
          <t>Direct Labour</t>
        </is>
      </c>
      <c r="D10" s="2" t="n">
        <v>0.457</v>
      </c>
      <c r="E10" s="2" t="n">
        <v>0.508</v>
      </c>
      <c r="F10" s="2" t="n">
        <v>0.584</v>
      </c>
      <c r="G10" s="2" t="inlineStr">
        <is>
          <t>65-100% definition maturity</t>
        </is>
      </c>
    </row>
    <row r="11">
      <c r="A11" s="2" t="inlineStr">
        <is>
          <t>1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0.508</v>
      </c>
      <c r="E11" s="2" t="n">
        <v>0.5639999999999999</v>
      </c>
      <c r="F11" s="2" t="n">
        <v>0.649</v>
      </c>
      <c r="G11" s="2" t="inlineStr">
        <is>
          <t>65-100% definition maturity</t>
        </is>
      </c>
    </row>
    <row r="12">
      <c r="A12" s="2" t="inlineStr">
        <is>
          <t>1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0.203</v>
      </c>
      <c r="E12" s="2" t="n">
        <v>0.226</v>
      </c>
      <c r="F12" s="2" t="n">
        <v>0.26</v>
      </c>
      <c r="G12" s="2" t="inlineStr">
        <is>
          <t>65-100% definition maturity</t>
        </is>
      </c>
    </row>
    <row r="13">
      <c r="A13" s="2" t="inlineStr">
        <is>
          <t>1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0.356</v>
      </c>
      <c r="E13" s="2" t="n">
        <v>0.395</v>
      </c>
      <c r="F13" s="2" t="n">
        <v>0.454</v>
      </c>
      <c r="G13" s="2" t="inlineStr">
        <is>
          <t>65-100% definition maturity</t>
        </is>
      </c>
    </row>
    <row r="14">
      <c r="A14" s="2" t="inlineStr">
        <is>
          <t>1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0.356</v>
      </c>
      <c r="E14" s="2" t="n">
        <v>0.395</v>
      </c>
      <c r="F14" s="2" t="n">
        <v>0.454</v>
      </c>
      <c r="G14" s="2" t="inlineStr">
        <is>
          <t>65-100% definition maturity</t>
        </is>
      </c>
    </row>
    <row r="15">
      <c r="A15" s="2" t="inlineStr">
        <is>
          <t>1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0.152</v>
      </c>
      <c r="E15" s="2" t="n">
        <v>0.169</v>
      </c>
      <c r="F15" s="2" t="n">
        <v>0.194</v>
      </c>
      <c r="G15" s="2" t="inlineStr">
        <is>
          <t>65-100% definition maturity</t>
        </is>
      </c>
    </row>
    <row r="16">
      <c r="A16" s="2" t="inlineStr">
        <is>
          <t>1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0.305</v>
      </c>
      <c r="E16" s="2" t="n">
        <v>0.339</v>
      </c>
      <c r="F16" s="2" t="n">
        <v>0.39</v>
      </c>
      <c r="G16" s="2" t="inlineStr">
        <is>
          <t>65-100% definition maturity</t>
        </is>
      </c>
    </row>
    <row r="17">
      <c r="A17" s="2" t="inlineStr">
        <is>
          <t>1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0.152</v>
      </c>
      <c r="E17" s="2" t="n">
        <v>0.169</v>
      </c>
      <c r="F17" s="2" t="n">
        <v>0.194</v>
      </c>
      <c r="G17" s="2" t="inlineStr">
        <is>
          <t>65-100% definition maturity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2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0.288</v>
      </c>
      <c r="E2" s="2" t="n">
        <v>0.339</v>
      </c>
      <c r="F2" s="2" t="n">
        <v>0.407</v>
      </c>
      <c r="G2" s="2" t="inlineStr">
        <is>
          <t>30-75% definition maturity</t>
        </is>
      </c>
    </row>
    <row r="3">
      <c r="A3" s="2" t="inlineStr">
        <is>
          <t>2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0.383</v>
      </c>
      <c r="E3" s="2" t="n">
        <v>0.451</v>
      </c>
      <c r="F3" s="2" t="n">
        <v>0.541</v>
      </c>
      <c r="G3" s="2" t="inlineStr">
        <is>
          <t>30-75% definition maturity</t>
        </is>
      </c>
    </row>
    <row r="4">
      <c r="A4" s="2" t="inlineStr">
        <is>
          <t>2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0.671</v>
      </c>
      <c r="E4" s="2" t="n">
        <v>0.79</v>
      </c>
      <c r="F4" s="2" t="n">
        <v>0.948</v>
      </c>
      <c r="G4" s="2" t="inlineStr">
        <is>
          <t>30-75% definition maturity</t>
        </is>
      </c>
    </row>
    <row r="5">
      <c r="A5" s="2" t="inlineStr">
        <is>
          <t>2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0.671</v>
      </c>
      <c r="E5" s="2" t="n">
        <v>0.79</v>
      </c>
      <c r="F5" s="2" t="n">
        <v>0.948</v>
      </c>
      <c r="G5" s="2" t="inlineStr">
        <is>
          <t>30-75% definition maturity</t>
        </is>
      </c>
    </row>
    <row r="6">
      <c r="A6" s="2" t="inlineStr">
        <is>
          <t>2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0.575</v>
      </c>
      <c r="E6" s="2" t="n">
        <v>0.677</v>
      </c>
      <c r="F6" s="2" t="n">
        <v>0.8120000000000001</v>
      </c>
      <c r="G6" s="2" t="inlineStr">
        <is>
          <t>30-75% definition maturity</t>
        </is>
      </c>
    </row>
    <row r="7">
      <c r="A7" s="2" t="inlineStr">
        <is>
          <t>2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0.624</v>
      </c>
      <c r="E7" s="2" t="n">
        <v>0.734</v>
      </c>
      <c r="F7" s="2" t="n">
        <v>0.881</v>
      </c>
      <c r="G7" s="2" t="inlineStr">
        <is>
          <t>30-75% definition maturity</t>
        </is>
      </c>
    </row>
    <row r="8">
      <c r="A8" s="2" t="inlineStr">
        <is>
          <t>2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0.768</v>
      </c>
      <c r="E8" s="2" t="n">
        <v>0.903</v>
      </c>
      <c r="F8" s="2" t="n">
        <v>1.084</v>
      </c>
      <c r="G8" s="2" t="inlineStr">
        <is>
          <t>30-75% definition maturity</t>
        </is>
      </c>
    </row>
    <row r="9">
      <c r="A9" s="2" t="inlineStr">
        <is>
          <t>2</t>
        </is>
      </c>
      <c r="B9" s="2" t="inlineStr">
        <is>
          <t>01.08</t>
        </is>
      </c>
      <c r="C9" s="2" t="inlineStr">
        <is>
          <t>Cooling Systems</t>
        </is>
      </c>
      <c r="D9" s="2" t="n">
        <v>0.575</v>
      </c>
      <c r="E9" s="2" t="n">
        <v>0.677</v>
      </c>
      <c r="F9" s="2" t="n">
        <v>0.8120000000000001</v>
      </c>
      <c r="G9" s="2" t="inlineStr">
        <is>
          <t>30-75% definition maturity</t>
        </is>
      </c>
    </row>
    <row r="10">
      <c r="A10" s="2" t="inlineStr">
        <is>
          <t>2</t>
        </is>
      </c>
      <c r="B10" s="2" t="inlineStr">
        <is>
          <t>01.09</t>
        </is>
      </c>
      <c r="C10" s="2" t="inlineStr">
        <is>
          <t>Direct Labour</t>
        </is>
      </c>
      <c r="D10" s="2" t="n">
        <v>0.432</v>
      </c>
      <c r="E10" s="2" t="n">
        <v>0.508</v>
      </c>
      <c r="F10" s="2" t="n">
        <v>0.61</v>
      </c>
      <c r="G10" s="2" t="inlineStr">
        <is>
          <t>30-75% definition maturity</t>
        </is>
      </c>
    </row>
    <row r="11">
      <c r="A11" s="2" t="inlineStr">
        <is>
          <t>2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0.479</v>
      </c>
      <c r="E11" s="2" t="n">
        <v>0.5639999999999999</v>
      </c>
      <c r="F11" s="2" t="n">
        <v>0.677</v>
      </c>
      <c r="G11" s="2" t="inlineStr">
        <is>
          <t>30-75% definition maturity</t>
        </is>
      </c>
    </row>
    <row r="12">
      <c r="A12" s="2" t="inlineStr">
        <is>
          <t>2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0.192</v>
      </c>
      <c r="E12" s="2" t="n">
        <v>0.226</v>
      </c>
      <c r="F12" s="2" t="n">
        <v>0.271</v>
      </c>
      <c r="G12" s="2" t="inlineStr">
        <is>
          <t>30-75% definition maturity</t>
        </is>
      </c>
    </row>
    <row r="13">
      <c r="A13" s="2" t="inlineStr">
        <is>
          <t>2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0.336</v>
      </c>
      <c r="E13" s="2" t="n">
        <v>0.395</v>
      </c>
      <c r="F13" s="2" t="n">
        <v>0.474</v>
      </c>
      <c r="G13" s="2" t="inlineStr">
        <is>
          <t>30-75% definition maturity</t>
        </is>
      </c>
    </row>
    <row r="14">
      <c r="A14" s="2" t="inlineStr">
        <is>
          <t>2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0.336</v>
      </c>
      <c r="E14" s="2" t="n">
        <v>0.395</v>
      </c>
      <c r="F14" s="2" t="n">
        <v>0.474</v>
      </c>
      <c r="G14" s="2" t="inlineStr">
        <is>
          <t>30-75% definition maturity</t>
        </is>
      </c>
    </row>
    <row r="15">
      <c r="A15" s="2" t="inlineStr">
        <is>
          <t>2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0.144</v>
      </c>
      <c r="E15" s="2" t="n">
        <v>0.169</v>
      </c>
      <c r="F15" s="2" t="n">
        <v>0.203</v>
      </c>
      <c r="G15" s="2" t="inlineStr">
        <is>
          <t>30-75% definition maturity</t>
        </is>
      </c>
    </row>
    <row r="16">
      <c r="A16" s="2" t="inlineStr">
        <is>
          <t>2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0.288</v>
      </c>
      <c r="E16" s="2" t="n">
        <v>0.339</v>
      </c>
      <c r="F16" s="2" t="n">
        <v>0.407</v>
      </c>
      <c r="G16" s="2" t="inlineStr">
        <is>
          <t>30-75% definition maturity</t>
        </is>
      </c>
    </row>
    <row r="17">
      <c r="A17" s="2" t="inlineStr">
        <is>
          <t>2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0.144</v>
      </c>
      <c r="E17" s="2" t="n">
        <v>0.169</v>
      </c>
      <c r="F17" s="2" t="n">
        <v>0.203</v>
      </c>
      <c r="G17" s="2" t="inlineStr">
        <is>
          <t>30-75% definition maturity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3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0.271</v>
      </c>
      <c r="E2" s="2" t="n">
        <v>0.339</v>
      </c>
      <c r="F2" s="2" t="n">
        <v>0.441</v>
      </c>
      <c r="G2" s="2" t="inlineStr">
        <is>
          <t>10-40% definition maturity</t>
        </is>
      </c>
    </row>
    <row r="3">
      <c r="A3" s="2" t="inlineStr">
        <is>
          <t>3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0.361</v>
      </c>
      <c r="E3" s="2" t="n">
        <v>0.451</v>
      </c>
      <c r="F3" s="2" t="n">
        <v>0.586</v>
      </c>
      <c r="G3" s="2" t="inlineStr">
        <is>
          <t>10-40% definition maturity</t>
        </is>
      </c>
    </row>
    <row r="4">
      <c r="A4" s="2" t="inlineStr">
        <is>
          <t>3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0.632</v>
      </c>
      <c r="E4" s="2" t="n">
        <v>0.79</v>
      </c>
      <c r="F4" s="2" t="n">
        <v>1.027</v>
      </c>
      <c r="G4" s="2" t="inlineStr">
        <is>
          <t>10-40% definition maturity</t>
        </is>
      </c>
    </row>
    <row r="5">
      <c r="A5" s="2" t="inlineStr">
        <is>
          <t>3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0.632</v>
      </c>
      <c r="E5" s="2" t="n">
        <v>0.79</v>
      </c>
      <c r="F5" s="2" t="n">
        <v>1.027</v>
      </c>
      <c r="G5" s="2" t="inlineStr">
        <is>
          <t>10-40% definition maturity</t>
        </is>
      </c>
    </row>
    <row r="6">
      <c r="A6" s="2" t="inlineStr">
        <is>
          <t>3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0.542</v>
      </c>
      <c r="E6" s="2" t="n">
        <v>0.677</v>
      </c>
      <c r="F6" s="2" t="n">
        <v>0.88</v>
      </c>
      <c r="G6" s="2" t="inlineStr">
        <is>
          <t>10-40% definition maturity</t>
        </is>
      </c>
    </row>
    <row r="7">
      <c r="A7" s="2" t="inlineStr">
        <is>
          <t>3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0.587</v>
      </c>
      <c r="E7" s="2" t="n">
        <v>0.734</v>
      </c>
      <c r="F7" s="2" t="n">
        <v>0.954</v>
      </c>
      <c r="G7" s="2" t="inlineStr">
        <is>
          <t>10-40% definition maturity</t>
        </is>
      </c>
    </row>
    <row r="8">
      <c r="A8" s="2" t="inlineStr">
        <is>
          <t>3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0.722</v>
      </c>
      <c r="E8" s="2" t="n">
        <v>0.903</v>
      </c>
      <c r="F8" s="2" t="n">
        <v>1.174</v>
      </c>
      <c r="G8" s="2" t="inlineStr">
        <is>
          <t>10-40% definition maturity</t>
        </is>
      </c>
    </row>
    <row r="9">
      <c r="A9" s="2" t="inlineStr">
        <is>
          <t>3</t>
        </is>
      </c>
      <c r="B9" s="2" t="inlineStr">
        <is>
          <t>01.08</t>
        </is>
      </c>
      <c r="C9" s="2" t="inlineStr">
        <is>
          <t>Cooling Systems</t>
        </is>
      </c>
      <c r="D9" s="2" t="n">
        <v>0.542</v>
      </c>
      <c r="E9" s="2" t="n">
        <v>0.677</v>
      </c>
      <c r="F9" s="2" t="n">
        <v>0.88</v>
      </c>
      <c r="G9" s="2" t="inlineStr">
        <is>
          <t>10-40% definition maturity</t>
        </is>
      </c>
    </row>
    <row r="10">
      <c r="A10" s="2" t="inlineStr">
        <is>
          <t>3</t>
        </is>
      </c>
      <c r="B10" s="2" t="inlineStr">
        <is>
          <t>01.09</t>
        </is>
      </c>
      <c r="C10" s="2" t="inlineStr">
        <is>
          <t>Direct Labour</t>
        </is>
      </c>
      <c r="D10" s="2" t="n">
        <v>0.406</v>
      </c>
      <c r="E10" s="2" t="n">
        <v>0.508</v>
      </c>
      <c r="F10" s="2" t="n">
        <v>0.66</v>
      </c>
      <c r="G10" s="2" t="inlineStr">
        <is>
          <t>10-40% definition maturity</t>
        </is>
      </c>
    </row>
    <row r="11">
      <c r="A11" s="2" t="inlineStr">
        <is>
          <t>3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0.451</v>
      </c>
      <c r="E11" s="2" t="n">
        <v>0.5639999999999999</v>
      </c>
      <c r="F11" s="2" t="n">
        <v>0.733</v>
      </c>
      <c r="G11" s="2" t="inlineStr">
        <is>
          <t>10-40% definition maturity</t>
        </is>
      </c>
    </row>
    <row r="12">
      <c r="A12" s="2" t="inlineStr">
        <is>
          <t>3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0.181</v>
      </c>
      <c r="E12" s="2" t="n">
        <v>0.226</v>
      </c>
      <c r="F12" s="2" t="n">
        <v>0.294</v>
      </c>
      <c r="G12" s="2" t="inlineStr">
        <is>
          <t>10-40% definition maturity</t>
        </is>
      </c>
    </row>
    <row r="13">
      <c r="A13" s="2" t="inlineStr">
        <is>
          <t>3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0.316</v>
      </c>
      <c r="E13" s="2" t="n">
        <v>0.395</v>
      </c>
      <c r="F13" s="2" t="n">
        <v>0.514</v>
      </c>
      <c r="G13" s="2" t="inlineStr">
        <is>
          <t>10-40% definition maturity</t>
        </is>
      </c>
    </row>
    <row r="14">
      <c r="A14" s="2" t="inlineStr">
        <is>
          <t>3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0.316</v>
      </c>
      <c r="E14" s="2" t="n">
        <v>0.395</v>
      </c>
      <c r="F14" s="2" t="n">
        <v>0.514</v>
      </c>
      <c r="G14" s="2" t="inlineStr">
        <is>
          <t>10-40% definition maturity</t>
        </is>
      </c>
    </row>
    <row r="15">
      <c r="A15" s="2" t="inlineStr">
        <is>
          <t>3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0.135</v>
      </c>
      <c r="E15" s="2" t="n">
        <v>0.169</v>
      </c>
      <c r="F15" s="2" t="n">
        <v>0.22</v>
      </c>
      <c r="G15" s="2" t="inlineStr">
        <is>
          <t>10-40% definition maturity</t>
        </is>
      </c>
    </row>
    <row r="16">
      <c r="A16" s="2" t="inlineStr">
        <is>
          <t>3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0.271</v>
      </c>
      <c r="E16" s="2" t="n">
        <v>0.339</v>
      </c>
      <c r="F16" s="2" t="n">
        <v>0.441</v>
      </c>
      <c r="G16" s="2" t="inlineStr">
        <is>
          <t>10-40% definition maturity</t>
        </is>
      </c>
    </row>
    <row r="17">
      <c r="A17" s="2" t="inlineStr">
        <is>
          <t>3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0.135</v>
      </c>
      <c r="E17" s="2" t="n">
        <v>0.169</v>
      </c>
      <c r="F17" s="2" t="n">
        <v>0.22</v>
      </c>
      <c r="G17" s="2" t="inlineStr">
        <is>
          <t>10-40% definition maturity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4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0.237</v>
      </c>
      <c r="E2" s="2" t="n">
        <v>0.339</v>
      </c>
      <c r="F2" s="2" t="n">
        <v>0.509</v>
      </c>
      <c r="G2" s="2" t="inlineStr">
        <is>
          <t>1-15% definition maturity</t>
        </is>
      </c>
    </row>
    <row r="3">
      <c r="A3" s="2" t="inlineStr">
        <is>
          <t>4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0.316</v>
      </c>
      <c r="E3" s="2" t="n">
        <v>0.451</v>
      </c>
      <c r="F3" s="2" t="n">
        <v>0.676</v>
      </c>
      <c r="G3" s="2" t="inlineStr">
        <is>
          <t>1-15% definition maturity</t>
        </is>
      </c>
    </row>
    <row r="4">
      <c r="A4" s="2" t="inlineStr">
        <is>
          <t>4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0.553</v>
      </c>
      <c r="E4" s="2" t="n">
        <v>0.79</v>
      </c>
      <c r="F4" s="2" t="n">
        <v>1.185</v>
      </c>
      <c r="G4" s="2" t="inlineStr">
        <is>
          <t>1-15% definition maturity</t>
        </is>
      </c>
    </row>
    <row r="5">
      <c r="A5" s="2" t="inlineStr">
        <is>
          <t>4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0.553</v>
      </c>
      <c r="E5" s="2" t="n">
        <v>0.79</v>
      </c>
      <c r="F5" s="2" t="n">
        <v>1.185</v>
      </c>
      <c r="G5" s="2" t="inlineStr">
        <is>
          <t>1-15% definition maturity</t>
        </is>
      </c>
    </row>
    <row r="6">
      <c r="A6" s="2" t="inlineStr">
        <is>
          <t>4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0.474</v>
      </c>
      <c r="E6" s="2" t="n">
        <v>0.677</v>
      </c>
      <c r="F6" s="2" t="n">
        <v>1.016</v>
      </c>
      <c r="G6" s="2" t="inlineStr">
        <is>
          <t>1-15% definition maturity</t>
        </is>
      </c>
    </row>
    <row r="7">
      <c r="A7" s="2" t="inlineStr">
        <is>
          <t>4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0.514</v>
      </c>
      <c r="E7" s="2" t="n">
        <v>0.734</v>
      </c>
      <c r="F7" s="2" t="n">
        <v>1.101</v>
      </c>
      <c r="G7" s="2" t="inlineStr">
        <is>
          <t>1-15% definition maturity</t>
        </is>
      </c>
    </row>
    <row r="8">
      <c r="A8" s="2" t="inlineStr">
        <is>
          <t>4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0.632</v>
      </c>
      <c r="E8" s="2" t="n">
        <v>0.903</v>
      </c>
      <c r="F8" s="2" t="n">
        <v>1.355</v>
      </c>
      <c r="G8" s="2" t="inlineStr">
        <is>
          <t>1-15% definition maturity</t>
        </is>
      </c>
    </row>
    <row r="9">
      <c r="A9" s="2" t="inlineStr">
        <is>
          <t>4</t>
        </is>
      </c>
      <c r="B9" s="2" t="inlineStr">
        <is>
          <t>01.08</t>
        </is>
      </c>
      <c r="C9" s="2" t="inlineStr">
        <is>
          <t>Cooling Systems</t>
        </is>
      </c>
      <c r="D9" s="2" t="n">
        <v>0.474</v>
      </c>
      <c r="E9" s="2" t="n">
        <v>0.677</v>
      </c>
      <c r="F9" s="2" t="n">
        <v>1.016</v>
      </c>
      <c r="G9" s="2" t="inlineStr">
        <is>
          <t>1-15% definition maturity</t>
        </is>
      </c>
    </row>
    <row r="10">
      <c r="A10" s="2" t="inlineStr">
        <is>
          <t>4</t>
        </is>
      </c>
      <c r="B10" s="2" t="inlineStr">
        <is>
          <t>01.09</t>
        </is>
      </c>
      <c r="C10" s="2" t="inlineStr">
        <is>
          <t>Direct Labour</t>
        </is>
      </c>
      <c r="D10" s="2" t="n">
        <v>0.356</v>
      </c>
      <c r="E10" s="2" t="n">
        <v>0.508</v>
      </c>
      <c r="F10" s="2" t="n">
        <v>0.762</v>
      </c>
      <c r="G10" s="2" t="inlineStr">
        <is>
          <t>1-15% definition maturity</t>
        </is>
      </c>
    </row>
    <row r="11">
      <c r="A11" s="2" t="inlineStr">
        <is>
          <t>4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0.395</v>
      </c>
      <c r="E11" s="2" t="n">
        <v>0.5639999999999999</v>
      </c>
      <c r="F11" s="2" t="n">
        <v>0.846</v>
      </c>
      <c r="G11" s="2" t="inlineStr">
        <is>
          <t>1-15% definition maturity</t>
        </is>
      </c>
    </row>
    <row r="12">
      <c r="A12" s="2" t="inlineStr">
        <is>
          <t>4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0.158</v>
      </c>
      <c r="E12" s="2" t="n">
        <v>0.226</v>
      </c>
      <c r="F12" s="2" t="n">
        <v>0.339</v>
      </c>
      <c r="G12" s="2" t="inlineStr">
        <is>
          <t>1-15% definition maturity</t>
        </is>
      </c>
    </row>
    <row r="13">
      <c r="A13" s="2" t="inlineStr">
        <is>
          <t>4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0.276</v>
      </c>
      <c r="E13" s="2" t="n">
        <v>0.395</v>
      </c>
      <c r="F13" s="2" t="n">
        <v>0.593</v>
      </c>
      <c r="G13" s="2" t="inlineStr">
        <is>
          <t>1-15% definition maturity</t>
        </is>
      </c>
    </row>
    <row r="14">
      <c r="A14" s="2" t="inlineStr">
        <is>
          <t>4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0.276</v>
      </c>
      <c r="E14" s="2" t="n">
        <v>0.395</v>
      </c>
      <c r="F14" s="2" t="n">
        <v>0.593</v>
      </c>
      <c r="G14" s="2" t="inlineStr">
        <is>
          <t>1-15% definition maturity</t>
        </is>
      </c>
    </row>
    <row r="15">
      <c r="A15" s="2" t="inlineStr">
        <is>
          <t>4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0.118</v>
      </c>
      <c r="E15" s="2" t="n">
        <v>0.169</v>
      </c>
      <c r="F15" s="2" t="n">
        <v>0.254</v>
      </c>
      <c r="G15" s="2" t="inlineStr">
        <is>
          <t>1-15% definition maturity</t>
        </is>
      </c>
    </row>
    <row r="16">
      <c r="A16" s="2" t="inlineStr">
        <is>
          <t>4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0.237</v>
      </c>
      <c r="E16" s="2" t="n">
        <v>0.339</v>
      </c>
      <c r="F16" s="2" t="n">
        <v>0.509</v>
      </c>
      <c r="G16" s="2" t="inlineStr">
        <is>
          <t>1-15% definition maturity</t>
        </is>
      </c>
    </row>
    <row r="17">
      <c r="A17" s="2" t="inlineStr">
        <is>
          <t>4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0.118</v>
      </c>
      <c r="E17" s="2" t="n">
        <v>0.169</v>
      </c>
      <c r="F17" s="2" t="n">
        <v>0.254</v>
      </c>
      <c r="G17" s="2" t="inlineStr">
        <is>
          <t>1-15% definition maturity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5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0.17</v>
      </c>
      <c r="E2" s="2" t="n">
        <v>0.339</v>
      </c>
      <c r="F2" s="2" t="n">
        <v>0.678</v>
      </c>
      <c r="G2" s="2" t="inlineStr">
        <is>
          <t>0-2% definition maturity</t>
        </is>
      </c>
    </row>
    <row r="3">
      <c r="A3" s="2" t="inlineStr">
        <is>
          <t>5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0.226</v>
      </c>
      <c r="E3" s="2" t="n">
        <v>0.451</v>
      </c>
      <c r="F3" s="2" t="n">
        <v>0.902</v>
      </c>
      <c r="G3" s="2" t="inlineStr">
        <is>
          <t>0-2% definition maturity</t>
        </is>
      </c>
    </row>
    <row r="4">
      <c r="A4" s="2" t="inlineStr">
        <is>
          <t>5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0.395</v>
      </c>
      <c r="E4" s="2" t="n">
        <v>0.79</v>
      </c>
      <c r="F4" s="2" t="n">
        <v>1.58</v>
      </c>
      <c r="G4" s="2" t="inlineStr">
        <is>
          <t>0-2% definition maturity</t>
        </is>
      </c>
    </row>
    <row r="5">
      <c r="A5" s="2" t="inlineStr">
        <is>
          <t>5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0.395</v>
      </c>
      <c r="E5" s="2" t="n">
        <v>0.79</v>
      </c>
      <c r="F5" s="2" t="n">
        <v>1.58</v>
      </c>
      <c r="G5" s="2" t="inlineStr">
        <is>
          <t>0-2% definition maturity</t>
        </is>
      </c>
    </row>
    <row r="6">
      <c r="A6" s="2" t="inlineStr">
        <is>
          <t>5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0.339</v>
      </c>
      <c r="E6" s="2" t="n">
        <v>0.677</v>
      </c>
      <c r="F6" s="2" t="n">
        <v>1.354</v>
      </c>
      <c r="G6" s="2" t="inlineStr">
        <is>
          <t>0-2% definition maturity</t>
        </is>
      </c>
    </row>
    <row r="7">
      <c r="A7" s="2" t="inlineStr">
        <is>
          <t>5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0.367</v>
      </c>
      <c r="E7" s="2" t="n">
        <v>0.734</v>
      </c>
      <c r="F7" s="2" t="n">
        <v>1.468</v>
      </c>
      <c r="G7" s="2" t="inlineStr">
        <is>
          <t>0-2% definition maturity</t>
        </is>
      </c>
    </row>
    <row r="8">
      <c r="A8" s="2" t="inlineStr">
        <is>
          <t>5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0.452</v>
      </c>
      <c r="E8" s="2" t="n">
        <v>0.903</v>
      </c>
      <c r="F8" s="2" t="n">
        <v>1.806</v>
      </c>
      <c r="G8" s="2" t="inlineStr">
        <is>
          <t>0-2% definition maturity</t>
        </is>
      </c>
    </row>
    <row r="9">
      <c r="A9" s="2" t="inlineStr">
        <is>
          <t>5</t>
        </is>
      </c>
      <c r="B9" s="2" t="inlineStr">
        <is>
          <t>01.08</t>
        </is>
      </c>
      <c r="C9" s="2" t="inlineStr">
        <is>
          <t>Cooling Systems</t>
        </is>
      </c>
      <c r="D9" s="2" t="n">
        <v>0.339</v>
      </c>
      <c r="E9" s="2" t="n">
        <v>0.677</v>
      </c>
      <c r="F9" s="2" t="n">
        <v>1.354</v>
      </c>
      <c r="G9" s="2" t="inlineStr">
        <is>
          <t>0-2% definition maturity</t>
        </is>
      </c>
    </row>
    <row r="10">
      <c r="A10" s="2" t="inlineStr">
        <is>
          <t>5</t>
        </is>
      </c>
      <c r="B10" s="2" t="inlineStr">
        <is>
          <t>01.09</t>
        </is>
      </c>
      <c r="C10" s="2" t="inlineStr">
        <is>
          <t>Direct Labour</t>
        </is>
      </c>
      <c r="D10" s="2" t="n">
        <v>0.254</v>
      </c>
      <c r="E10" s="2" t="n">
        <v>0.508</v>
      </c>
      <c r="F10" s="2" t="n">
        <v>1.016</v>
      </c>
      <c r="G10" s="2" t="inlineStr">
        <is>
          <t>0-2% definition maturity</t>
        </is>
      </c>
    </row>
    <row r="11">
      <c r="A11" s="2" t="inlineStr">
        <is>
          <t>5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0.282</v>
      </c>
      <c r="E11" s="2" t="n">
        <v>0.5639999999999999</v>
      </c>
      <c r="F11" s="2" t="n">
        <v>1.128</v>
      </c>
      <c r="G11" s="2" t="inlineStr">
        <is>
          <t>0-2% definition maturity</t>
        </is>
      </c>
    </row>
    <row r="12">
      <c r="A12" s="2" t="inlineStr">
        <is>
          <t>5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0.113</v>
      </c>
      <c r="E12" s="2" t="n">
        <v>0.226</v>
      </c>
      <c r="F12" s="2" t="n">
        <v>0.452</v>
      </c>
      <c r="G12" s="2" t="inlineStr">
        <is>
          <t>0-2% definition maturity</t>
        </is>
      </c>
    </row>
    <row r="13">
      <c r="A13" s="2" t="inlineStr">
        <is>
          <t>5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0.198</v>
      </c>
      <c r="E13" s="2" t="n">
        <v>0.395</v>
      </c>
      <c r="F13" s="2" t="n">
        <v>0.79</v>
      </c>
      <c r="G13" s="2" t="inlineStr">
        <is>
          <t>0-2% definition maturity</t>
        </is>
      </c>
    </row>
    <row r="14">
      <c r="A14" s="2" t="inlineStr">
        <is>
          <t>5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0.198</v>
      </c>
      <c r="E14" s="2" t="n">
        <v>0.395</v>
      </c>
      <c r="F14" s="2" t="n">
        <v>0.79</v>
      </c>
      <c r="G14" s="2" t="inlineStr">
        <is>
          <t>0-2% definition maturity</t>
        </is>
      </c>
    </row>
    <row r="15">
      <c r="A15" s="2" t="inlineStr">
        <is>
          <t>5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0.08500000000000001</v>
      </c>
      <c r="E15" s="2" t="n">
        <v>0.169</v>
      </c>
      <c r="F15" s="2" t="n">
        <v>0.338</v>
      </c>
      <c r="G15" s="2" t="inlineStr">
        <is>
          <t>0-2% definition maturity</t>
        </is>
      </c>
    </row>
    <row r="16">
      <c r="A16" s="2" t="inlineStr">
        <is>
          <t>5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0.17</v>
      </c>
      <c r="E16" s="2" t="n">
        <v>0.339</v>
      </c>
      <c r="F16" s="2" t="n">
        <v>0.678</v>
      </c>
      <c r="G16" s="2" t="inlineStr">
        <is>
          <t>0-2% definition maturity</t>
        </is>
      </c>
    </row>
    <row r="17">
      <c r="A17" s="2" t="inlineStr">
        <is>
          <t>5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0.08500000000000001</v>
      </c>
      <c r="E17" s="2" t="n">
        <v>0.169</v>
      </c>
      <c r="F17" s="2" t="n">
        <v>0.338</v>
      </c>
      <c r="G17" s="2" t="inlineStr">
        <is>
          <t>0-2% definition maturity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M100</t>
        </is>
      </c>
      <c r="B2" s="2" t="inlineStr">
        <is>
          <t>Milestone</t>
        </is>
      </c>
      <c r="C2" s="2" t="inlineStr">
        <is>
          <t>Investment approval</t>
        </is>
      </c>
      <c r="D2" s="2" t="inlineStr"/>
      <c r="E2" s="2" t="n">
        <v>2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M200</t>
        </is>
      </c>
      <c r="B3" s="2" t="inlineStr">
        <is>
          <t>Milestone</t>
        </is>
      </c>
      <c r="C3" s="2" t="inlineStr">
        <is>
          <t>Design complete</t>
        </is>
      </c>
      <c r="D3" s="2" t="inlineStr">
        <is>
          <t>M100</t>
        </is>
      </c>
      <c r="E3" s="2" t="n">
        <v>9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M300</t>
        </is>
      </c>
      <c r="B4" s="2" t="inlineStr">
        <is>
          <t>Milestone</t>
        </is>
      </c>
      <c r="C4" s="2" t="inlineStr">
        <is>
          <t>Procurement complete</t>
        </is>
      </c>
      <c r="D4" s="2" t="inlineStr">
        <is>
          <t>M200</t>
        </is>
      </c>
      <c r="E4" s="2" t="n">
        <v>7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M400</t>
        </is>
      </c>
      <c r="B5" s="2" t="inlineStr">
        <is>
          <t>Milestone</t>
        </is>
      </c>
      <c r="C5" s="2" t="inlineStr">
        <is>
          <t>Delivery complete</t>
        </is>
      </c>
      <c r="D5" s="2" t="inlineStr">
        <is>
          <t>M300</t>
        </is>
      </c>
      <c r="E5" s="2" t="n">
        <v>18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M500</t>
        </is>
      </c>
      <c r="B6" s="2" t="inlineStr">
        <is>
          <t>Milestone</t>
        </is>
      </c>
      <c r="C6" s="2" t="inlineStr">
        <is>
          <t>Ready for operations</t>
        </is>
      </c>
      <c r="D6" s="2" t="inlineStr">
        <is>
          <t>M400</t>
        </is>
      </c>
      <c r="E6" s="2" t="n">
        <v>7</v>
      </c>
      <c r="F6" s="2" t="inlineStr">
        <is>
          <t>No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M600</t>
        </is>
      </c>
      <c r="B7" s="2" t="inlineStr">
        <is>
          <t>Milestone</t>
        </is>
      </c>
      <c r="C7" s="2" t="inlineStr">
        <is>
          <t>Handover</t>
        </is>
      </c>
      <c r="D7" s="2" t="inlineStr">
        <is>
          <t>M500</t>
        </is>
      </c>
      <c r="E7" s="2" t="n">
        <v>2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1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2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2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4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4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3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5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4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3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10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5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3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1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2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2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4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4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3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5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4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3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10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5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3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1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2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2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4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4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3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5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4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3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10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5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3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  <row r="14">
      <c r="A14" s="2" t="inlineStr">
        <is>
          <t>P1000</t>
        </is>
      </c>
      <c r="B14" s="2" t="inlineStr">
        <is>
          <t>Package</t>
        </is>
      </c>
      <c r="C14" s="2" t="inlineStr">
        <is>
          <t>Grid connection</t>
        </is>
      </c>
      <c r="D14" s="2" t="inlineStr">
        <is>
          <t>A1900</t>
        </is>
      </c>
      <c r="E14" s="2" t="n">
        <v>2</v>
      </c>
      <c r="F14" s="2" t="inlineStr">
        <is>
          <t>Yes</t>
        </is>
      </c>
      <c r="G14" s="2" t="inlineStr">
        <is>
          <t>Duration derived from sector schedule model, selected schedule level and scenario compression/buffer logic.</t>
        </is>
      </c>
    </row>
    <row r="15">
      <c r="A15" s="2" t="inlineStr">
        <is>
          <t>P2000</t>
        </is>
      </c>
      <c r="B15" s="2" t="inlineStr">
        <is>
          <t>Package</t>
        </is>
      </c>
      <c r="C15" s="2" t="inlineStr">
        <is>
          <t>Data halls</t>
        </is>
      </c>
      <c r="D15" s="2" t="inlineStr">
        <is>
          <t>P1000</t>
        </is>
      </c>
      <c r="E15" s="2" t="n">
        <v>2</v>
      </c>
      <c r="F15" s="2" t="inlineStr">
        <is>
          <t>Yes</t>
        </is>
      </c>
      <c r="G15" s="2" t="inlineStr">
        <is>
          <t>Duration derived from sector schedule model, selected schedule level and scenario compression/buffer logic.</t>
        </is>
      </c>
    </row>
    <row r="16">
      <c r="A16" s="2" t="inlineStr">
        <is>
          <t>P3000</t>
        </is>
      </c>
      <c r="B16" s="2" t="inlineStr">
        <is>
          <t>Package</t>
        </is>
      </c>
      <c r="C16" s="2" t="inlineStr">
        <is>
          <t>Cooling plant</t>
        </is>
      </c>
      <c r="D16" s="2" t="inlineStr">
        <is>
          <t>P2000</t>
        </is>
      </c>
      <c r="E16" s="2" t="n">
        <v>2</v>
      </c>
      <c r="F16" s="2" t="inlineStr">
        <is>
          <t>Yes</t>
        </is>
      </c>
      <c r="G16" s="2" t="inlineStr">
        <is>
          <t>Duration derived from sector schedule model, selected schedule level and scenario compression/buffer logic.</t>
        </is>
      </c>
    </row>
    <row r="17">
      <c r="A17" s="2" t="inlineStr">
        <is>
          <t>P4000</t>
        </is>
      </c>
      <c r="B17" s="2" t="inlineStr">
        <is>
          <t>Package</t>
        </is>
      </c>
      <c r="C17" s="2" t="inlineStr">
        <is>
          <t>Power train</t>
        </is>
      </c>
      <c r="D17" s="2" t="inlineStr">
        <is>
          <t>P3000</t>
        </is>
      </c>
      <c r="E17" s="2" t="n">
        <v>2</v>
      </c>
      <c r="F17" s="2" t="inlineStr">
        <is>
          <t>Yes</t>
        </is>
      </c>
      <c r="G17" s="2" t="inlineStr">
        <is>
          <t>Duration derived from sector schedule model, selected schedule level and scenario compression/buffer logic.</t>
        </is>
      </c>
    </row>
    <row r="18">
      <c r="A18" s="2" t="inlineStr">
        <is>
          <t>P5000</t>
        </is>
      </c>
      <c r="B18" s="2" t="inlineStr">
        <is>
          <t>Package</t>
        </is>
      </c>
      <c r="C18" s="2" t="inlineStr">
        <is>
          <t>Controls and commissioning</t>
        </is>
      </c>
      <c r="D18" s="2" t="inlineStr">
        <is>
          <t>P4000</t>
        </is>
      </c>
      <c r="E18" s="2" t="n">
        <v>2</v>
      </c>
      <c r="F18" s="2" t="inlineStr">
        <is>
          <t>Yes</t>
        </is>
      </c>
      <c r="G18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1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2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2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4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4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3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5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4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3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10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5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3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  <row r="14">
      <c r="A14" s="2" t="inlineStr">
        <is>
          <t>P1000</t>
        </is>
      </c>
      <c r="B14" s="2" t="inlineStr">
        <is>
          <t>Package</t>
        </is>
      </c>
      <c r="C14" s="2" t="inlineStr">
        <is>
          <t>Grid connection</t>
        </is>
      </c>
      <c r="D14" s="2" t="inlineStr">
        <is>
          <t>A1900</t>
        </is>
      </c>
      <c r="E14" s="2" t="n">
        <v>2</v>
      </c>
      <c r="F14" s="2" t="inlineStr">
        <is>
          <t>Yes</t>
        </is>
      </c>
      <c r="G14" s="2" t="inlineStr">
        <is>
          <t>Duration derived from sector schedule model, selected schedule level and scenario compression/buffer logic.</t>
        </is>
      </c>
    </row>
    <row r="15">
      <c r="A15" s="2" t="inlineStr">
        <is>
          <t>P1100</t>
        </is>
      </c>
      <c r="B15" s="2" t="inlineStr">
        <is>
          <t>Activity</t>
        </is>
      </c>
      <c r="C15" s="2" t="inlineStr">
        <is>
          <t>Grid connection - mobilise / method</t>
        </is>
      </c>
      <c r="D15" s="2" t="inlineStr">
        <is>
          <t>A1900</t>
        </is>
      </c>
      <c r="E15" s="2" t="n">
        <v>1</v>
      </c>
      <c r="F15" s="2" t="inlineStr">
        <is>
          <t>Yes</t>
        </is>
      </c>
      <c r="G15" s="2" t="inlineStr">
        <is>
          <t>Duration derived from sector schedule model, selected schedule level and scenario compression/buffer logic.</t>
        </is>
      </c>
    </row>
    <row r="16">
      <c r="A16" s="2" t="inlineStr">
        <is>
          <t>P1200</t>
        </is>
      </c>
      <c r="B16" s="2" t="inlineStr">
        <is>
          <t>Activity</t>
        </is>
      </c>
      <c r="C16" s="2" t="inlineStr">
        <is>
          <t>Grid connection - execute works</t>
        </is>
      </c>
      <c r="D16" s="2" t="inlineStr">
        <is>
          <t>P1100</t>
        </is>
      </c>
      <c r="E16" s="2" t="n">
        <v>1</v>
      </c>
      <c r="F16" s="2" t="inlineStr">
        <is>
          <t>Yes</t>
        </is>
      </c>
      <c r="G16" s="2" t="inlineStr">
        <is>
          <t>Duration derived from sector schedule model, selected schedule level and scenario compression/buffer logic.</t>
        </is>
      </c>
    </row>
    <row r="17">
      <c r="A17" s="2" t="inlineStr">
        <is>
          <t>P1300</t>
        </is>
      </c>
      <c r="B17" s="2" t="inlineStr">
        <is>
          <t>Activity</t>
        </is>
      </c>
      <c r="C17" s="2" t="inlineStr">
        <is>
          <t>Grid connection - inspect / closeout</t>
        </is>
      </c>
      <c r="D17" s="2" t="inlineStr">
        <is>
          <t>P1200</t>
        </is>
      </c>
      <c r="E17" s="2" t="n">
        <v>1</v>
      </c>
      <c r="F17" s="2" t="inlineStr">
        <is>
          <t>Yes</t>
        </is>
      </c>
      <c r="G17" s="2" t="inlineStr">
        <is>
          <t>Duration derived from sector schedule model, selected schedule level and scenario compression/buffer logic.</t>
        </is>
      </c>
    </row>
    <row r="18">
      <c r="A18" s="2" t="inlineStr">
        <is>
          <t>P2000</t>
        </is>
      </c>
      <c r="B18" s="2" t="inlineStr">
        <is>
          <t>Package</t>
        </is>
      </c>
      <c r="C18" s="2" t="inlineStr">
        <is>
          <t>Data halls</t>
        </is>
      </c>
      <c r="D18" s="2" t="inlineStr">
        <is>
          <t>P1000</t>
        </is>
      </c>
      <c r="E18" s="2" t="n">
        <v>2</v>
      </c>
      <c r="F18" s="2" t="inlineStr">
        <is>
          <t>Yes</t>
        </is>
      </c>
      <c r="G18" s="2" t="inlineStr">
        <is>
          <t>Duration derived from sector schedule model, selected schedule level and scenario compression/buffer logic.</t>
        </is>
      </c>
    </row>
    <row r="19">
      <c r="A19" s="2" t="inlineStr">
        <is>
          <t>P2100</t>
        </is>
      </c>
      <c r="B19" s="2" t="inlineStr">
        <is>
          <t>Activity</t>
        </is>
      </c>
      <c r="C19" s="2" t="inlineStr">
        <is>
          <t>Data halls - mobilise / method</t>
        </is>
      </c>
      <c r="D19" s="2" t="inlineStr">
        <is>
          <t>P1000</t>
        </is>
      </c>
      <c r="E19" s="2" t="n">
        <v>1</v>
      </c>
      <c r="F19" s="2" t="inlineStr">
        <is>
          <t>Yes</t>
        </is>
      </c>
      <c r="G19" s="2" t="inlineStr">
        <is>
          <t>Duration derived from sector schedule model, selected schedule level and scenario compression/buffer logic.</t>
        </is>
      </c>
    </row>
    <row r="20">
      <c r="A20" s="2" t="inlineStr">
        <is>
          <t>P2200</t>
        </is>
      </c>
      <c r="B20" s="2" t="inlineStr">
        <is>
          <t>Activity</t>
        </is>
      </c>
      <c r="C20" s="2" t="inlineStr">
        <is>
          <t>Data halls - execute works</t>
        </is>
      </c>
      <c r="D20" s="2" t="inlineStr">
        <is>
          <t>P2100</t>
        </is>
      </c>
      <c r="E20" s="2" t="n">
        <v>1</v>
      </c>
      <c r="F20" s="2" t="inlineStr">
        <is>
          <t>Yes</t>
        </is>
      </c>
      <c r="G20" s="2" t="inlineStr">
        <is>
          <t>Duration derived from sector schedule model, selected schedule level and scenario compression/buffer logic.</t>
        </is>
      </c>
    </row>
    <row r="21">
      <c r="A21" s="2" t="inlineStr">
        <is>
          <t>P2300</t>
        </is>
      </c>
      <c r="B21" s="2" t="inlineStr">
        <is>
          <t>Activity</t>
        </is>
      </c>
      <c r="C21" s="2" t="inlineStr">
        <is>
          <t>Data halls - inspect / closeout</t>
        </is>
      </c>
      <c r="D21" s="2" t="inlineStr">
        <is>
          <t>P2200</t>
        </is>
      </c>
      <c r="E21" s="2" t="n">
        <v>1</v>
      </c>
      <c r="F21" s="2" t="inlineStr">
        <is>
          <t>Yes</t>
        </is>
      </c>
      <c r="G21" s="2" t="inlineStr">
        <is>
          <t>Duration derived from sector schedule model, selected schedule level and scenario compression/buffer logic.</t>
        </is>
      </c>
    </row>
    <row r="22">
      <c r="A22" s="2" t="inlineStr">
        <is>
          <t>P3000</t>
        </is>
      </c>
      <c r="B22" s="2" t="inlineStr">
        <is>
          <t>Package</t>
        </is>
      </c>
      <c r="C22" s="2" t="inlineStr">
        <is>
          <t>Cooling plant</t>
        </is>
      </c>
      <c r="D22" s="2" t="inlineStr">
        <is>
          <t>P2000</t>
        </is>
      </c>
      <c r="E22" s="2" t="n">
        <v>2</v>
      </c>
      <c r="F22" s="2" t="inlineStr">
        <is>
          <t>Yes</t>
        </is>
      </c>
      <c r="G22" s="2" t="inlineStr">
        <is>
          <t>Duration derived from sector schedule model, selected schedule level and scenario compression/buffer logic.</t>
        </is>
      </c>
    </row>
    <row r="23">
      <c r="A23" s="2" t="inlineStr">
        <is>
          <t>P3100</t>
        </is>
      </c>
      <c r="B23" s="2" t="inlineStr">
        <is>
          <t>Activity</t>
        </is>
      </c>
      <c r="C23" s="2" t="inlineStr">
        <is>
          <t>Cooling plant - mobilise / method</t>
        </is>
      </c>
      <c r="D23" s="2" t="inlineStr">
        <is>
          <t>P2000</t>
        </is>
      </c>
      <c r="E23" s="2" t="n">
        <v>1</v>
      </c>
      <c r="F23" s="2" t="inlineStr">
        <is>
          <t>Yes</t>
        </is>
      </c>
      <c r="G23" s="2" t="inlineStr">
        <is>
          <t>Duration derived from sector schedule model, selected schedule level and scenario compression/buffer logic.</t>
        </is>
      </c>
    </row>
    <row r="24">
      <c r="A24" s="2" t="inlineStr">
        <is>
          <t>P3200</t>
        </is>
      </c>
      <c r="B24" s="2" t="inlineStr">
        <is>
          <t>Activity</t>
        </is>
      </c>
      <c r="C24" s="2" t="inlineStr">
        <is>
          <t>Cooling plant - execute works</t>
        </is>
      </c>
      <c r="D24" s="2" t="inlineStr">
        <is>
          <t>P3100</t>
        </is>
      </c>
      <c r="E24" s="2" t="n">
        <v>1</v>
      </c>
      <c r="F24" s="2" t="inlineStr">
        <is>
          <t>Yes</t>
        </is>
      </c>
      <c r="G24" s="2" t="inlineStr">
        <is>
          <t>Duration derived from sector schedule model, selected schedule level and scenario compression/buffer logic.</t>
        </is>
      </c>
    </row>
    <row r="25">
      <c r="A25" s="2" t="inlineStr">
        <is>
          <t>P3300</t>
        </is>
      </c>
      <c r="B25" s="2" t="inlineStr">
        <is>
          <t>Activity</t>
        </is>
      </c>
      <c r="C25" s="2" t="inlineStr">
        <is>
          <t>Cooling plant - inspect / closeout</t>
        </is>
      </c>
      <c r="D25" s="2" t="inlineStr">
        <is>
          <t>P3200</t>
        </is>
      </c>
      <c r="E25" s="2" t="n">
        <v>1</v>
      </c>
      <c r="F25" s="2" t="inlineStr">
        <is>
          <t>Yes</t>
        </is>
      </c>
      <c r="G25" s="2" t="inlineStr">
        <is>
          <t>Duration derived from sector schedule model, selected schedule level and scenario compression/buffer logic.</t>
        </is>
      </c>
    </row>
    <row r="26">
      <c r="A26" s="2" t="inlineStr">
        <is>
          <t>P4000</t>
        </is>
      </c>
      <c r="B26" s="2" t="inlineStr">
        <is>
          <t>Package</t>
        </is>
      </c>
      <c r="C26" s="2" t="inlineStr">
        <is>
          <t>Power train</t>
        </is>
      </c>
      <c r="D26" s="2" t="inlineStr">
        <is>
          <t>P3000</t>
        </is>
      </c>
      <c r="E26" s="2" t="n">
        <v>2</v>
      </c>
      <c r="F26" s="2" t="inlineStr">
        <is>
          <t>Yes</t>
        </is>
      </c>
      <c r="G26" s="2" t="inlineStr">
        <is>
          <t>Duration derived from sector schedule model, selected schedule level and scenario compression/buffer logic.</t>
        </is>
      </c>
    </row>
    <row r="27">
      <c r="A27" s="2" t="inlineStr">
        <is>
          <t>P4100</t>
        </is>
      </c>
      <c r="B27" s="2" t="inlineStr">
        <is>
          <t>Activity</t>
        </is>
      </c>
      <c r="C27" s="2" t="inlineStr">
        <is>
          <t>Power train - mobilise / method</t>
        </is>
      </c>
      <c r="D27" s="2" t="inlineStr">
        <is>
          <t>P3000</t>
        </is>
      </c>
      <c r="E27" s="2" t="n">
        <v>1</v>
      </c>
      <c r="F27" s="2" t="inlineStr">
        <is>
          <t>Yes</t>
        </is>
      </c>
      <c r="G27" s="2" t="inlineStr">
        <is>
          <t>Duration derived from sector schedule model, selected schedule level and scenario compression/buffer logic.</t>
        </is>
      </c>
    </row>
    <row r="28">
      <c r="A28" s="2" t="inlineStr">
        <is>
          <t>P4200</t>
        </is>
      </c>
      <c r="B28" s="2" t="inlineStr">
        <is>
          <t>Activity</t>
        </is>
      </c>
      <c r="C28" s="2" t="inlineStr">
        <is>
          <t>Power train - execute works</t>
        </is>
      </c>
      <c r="D28" s="2" t="inlineStr">
        <is>
          <t>P4100</t>
        </is>
      </c>
      <c r="E28" s="2" t="n">
        <v>1</v>
      </c>
      <c r="F28" s="2" t="inlineStr">
        <is>
          <t>Yes</t>
        </is>
      </c>
      <c r="G28" s="2" t="inlineStr">
        <is>
          <t>Duration derived from sector schedule model, selected schedule level and scenario compression/buffer logic.</t>
        </is>
      </c>
    </row>
    <row r="29">
      <c r="A29" s="2" t="inlineStr">
        <is>
          <t>P4300</t>
        </is>
      </c>
      <c r="B29" s="2" t="inlineStr">
        <is>
          <t>Activity</t>
        </is>
      </c>
      <c r="C29" s="2" t="inlineStr">
        <is>
          <t>Power train - inspect / closeout</t>
        </is>
      </c>
      <c r="D29" s="2" t="inlineStr">
        <is>
          <t>P4200</t>
        </is>
      </c>
      <c r="E29" s="2" t="n">
        <v>1</v>
      </c>
      <c r="F29" s="2" t="inlineStr">
        <is>
          <t>Yes</t>
        </is>
      </c>
      <c r="G29" s="2" t="inlineStr">
        <is>
          <t>Duration derived from sector schedule model, selected schedule level and scenario compression/buffer logic.</t>
        </is>
      </c>
    </row>
    <row r="30">
      <c r="A30" s="2" t="inlineStr">
        <is>
          <t>P5000</t>
        </is>
      </c>
      <c r="B30" s="2" t="inlineStr">
        <is>
          <t>Package</t>
        </is>
      </c>
      <c r="C30" s="2" t="inlineStr">
        <is>
          <t>Controls and commissioning</t>
        </is>
      </c>
      <c r="D30" s="2" t="inlineStr">
        <is>
          <t>P4000</t>
        </is>
      </c>
      <c r="E30" s="2" t="n">
        <v>2</v>
      </c>
      <c r="F30" s="2" t="inlineStr">
        <is>
          <t>Yes</t>
        </is>
      </c>
      <c r="G30" s="2" t="inlineStr">
        <is>
          <t>Duration derived from sector schedule model, selected schedule level and scenario compression/buffer logic.</t>
        </is>
      </c>
    </row>
    <row r="31">
      <c r="A31" s="2" t="inlineStr">
        <is>
          <t>P5100</t>
        </is>
      </c>
      <c r="B31" s="2" t="inlineStr">
        <is>
          <t>Activity</t>
        </is>
      </c>
      <c r="C31" s="2" t="inlineStr">
        <is>
          <t>Controls and commissioning - mobilise / method</t>
        </is>
      </c>
      <c r="D31" s="2" t="inlineStr">
        <is>
          <t>P4000</t>
        </is>
      </c>
      <c r="E31" s="2" t="n">
        <v>1</v>
      </c>
      <c r="F31" s="2" t="inlineStr">
        <is>
          <t>Yes</t>
        </is>
      </c>
      <c r="G31" s="2" t="inlineStr">
        <is>
          <t>Duration derived from sector schedule model, selected schedule level and scenario compression/buffer logic.</t>
        </is>
      </c>
    </row>
    <row r="32">
      <c r="A32" s="2" t="inlineStr">
        <is>
          <t>P5200</t>
        </is>
      </c>
      <c r="B32" s="2" t="inlineStr">
        <is>
          <t>Activity</t>
        </is>
      </c>
      <c r="C32" s="2" t="inlineStr">
        <is>
          <t>Controls and commissioning - execute works</t>
        </is>
      </c>
      <c r="D32" s="2" t="inlineStr">
        <is>
          <t>P5100</t>
        </is>
      </c>
      <c r="E32" s="2" t="n">
        <v>1</v>
      </c>
      <c r="F32" s="2" t="inlineStr">
        <is>
          <t>Yes</t>
        </is>
      </c>
      <c r="G32" s="2" t="inlineStr">
        <is>
          <t>Duration derived from sector schedule model, selected schedule level and scenario compression/buffer logic.</t>
        </is>
      </c>
    </row>
    <row r="33">
      <c r="A33" s="2" t="inlineStr">
        <is>
          <t>P5300</t>
        </is>
      </c>
      <c r="B33" s="2" t="inlineStr">
        <is>
          <t>Activity</t>
        </is>
      </c>
      <c r="C33" s="2" t="inlineStr">
        <is>
          <t>Controls and commissioning - inspect / closeout</t>
        </is>
      </c>
      <c r="D33" s="2" t="inlineStr">
        <is>
          <t>P5200</t>
        </is>
      </c>
      <c r="E33" s="2" t="n">
        <v>1</v>
      </c>
      <c r="F33" s="2" t="inlineStr">
        <is>
          <t>Yes</t>
        </is>
      </c>
      <c r="G3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Probability</t>
        </is>
      </c>
      <c r="E1" s="1" t="inlineStr">
        <is>
          <t>Activity</t>
        </is>
      </c>
      <c r="F1" s="1" t="inlineStr">
        <is>
          <t>CBS</t>
        </is>
      </c>
      <c r="G1" s="1" t="inlineStr">
        <is>
          <t>Sched O</t>
        </is>
      </c>
      <c r="H1" s="1" t="inlineStr">
        <is>
          <t>Sched M</t>
        </is>
      </c>
      <c r="I1" s="1" t="inlineStr">
        <is>
          <t>Sched P</t>
        </is>
      </c>
      <c r="J1" s="1" t="inlineStr">
        <is>
          <t>Cost O</t>
        </is>
      </c>
      <c r="K1" s="1" t="inlineStr">
        <is>
          <t>Cost M</t>
        </is>
      </c>
      <c r="L1" s="1" t="inlineStr">
        <is>
          <t>Cost P</t>
        </is>
      </c>
      <c r="M1" s="1" t="inlineStr">
        <is>
          <t>Owner</t>
        </is>
      </c>
      <c r="N1" s="1" t="inlineStr">
        <is>
          <t>Trigger</t>
        </is>
      </c>
      <c r="O1" s="1" t="inlineStr">
        <is>
          <t>Mitigation</t>
        </is>
      </c>
      <c r="P1" s="1" t="inlineStr">
        <is>
          <t>Cost Basis</t>
        </is>
      </c>
      <c r="Q1" s="1" t="inlineStr">
        <is>
          <t>Schedule Basis</t>
        </is>
      </c>
    </row>
    <row r="2">
      <c r="A2" s="2" t="inlineStr">
        <is>
          <t>R-D01</t>
        </is>
      </c>
      <c r="B2" s="2" t="inlineStr">
        <is>
          <t>Grid connection delay</t>
        </is>
      </c>
      <c r="C2" s="2" t="inlineStr">
        <is>
          <t>Utilities</t>
        </is>
      </c>
      <c r="D2" s="2" t="n">
        <v>48</v>
      </c>
      <c r="E2" s="2" t="inlineStr">
        <is>
          <t>A1400</t>
        </is>
      </c>
      <c r="F2" s="2" t="inlineStr">
        <is>
          <t>01.04</t>
        </is>
      </c>
      <c r="G2" s="2" t="n">
        <v>20</v>
      </c>
      <c r="H2" s="2" t="n">
        <v>80</v>
      </c>
      <c r="I2" s="2" t="n">
        <v>220</v>
      </c>
      <c r="J2" s="2" t="n">
        <v>0.169</v>
      </c>
      <c r="K2" s="2" t="n">
        <v>0.5639999999999999</v>
      </c>
      <c r="L2" s="2" t="n">
        <v>1.241</v>
      </c>
      <c r="M2" s="2" t="inlineStr">
        <is>
          <t>Utilities Lead</t>
        </is>
      </c>
      <c r="N2" s="2" t="inlineStr">
        <is>
          <t>Grid agreement unsigned</t>
        </is>
      </c>
      <c r="O2" s="2" t="inlineStr">
        <is>
          <t>Secure grid agreement, temporary power, early equipment orders</t>
        </is>
      </c>
      <c r="P2" s="2" t="inlineStr">
        <is>
          <t>Cost impact derived from 01.04 MEP / Systems / Utilities exposure, project P50 $5.6B, and risk severity (3%/10%/22%).</t>
        </is>
      </c>
      <c r="Q2" s="2" t="inlineStr">
        <is>
          <t>Schedule impact mapped to A1400 Planning, regulatory and stakeholder approvals with O/M/P delay 20/80/220 days and critical path sensitivity.</t>
        </is>
      </c>
    </row>
    <row r="3">
      <c r="A3" s="2" t="inlineStr">
        <is>
          <t>R-002</t>
        </is>
      </c>
      <c r="B3" s="2" t="inlineStr">
        <is>
          <t>Market escalation</t>
        </is>
      </c>
      <c r="C3" s="2" t="inlineStr">
        <is>
          <t>Commercial</t>
        </is>
      </c>
      <c r="D3" s="2" t="n">
        <v>45</v>
      </c>
      <c r="E3" s="2" t="inlineStr">
        <is>
          <t>A1700</t>
        </is>
      </c>
      <c r="F3" s="2" t="inlineStr">
        <is>
          <t>01.07</t>
        </is>
      </c>
      <c r="G3" s="2" t="n">
        <v>0</v>
      </c>
      <c r="H3" s="2" t="n">
        <v>0</v>
      </c>
      <c r="I3" s="2" t="n">
        <v>0</v>
      </c>
      <c r="J3" s="2" t="n">
        <v>0.226</v>
      </c>
      <c r="K3" s="2" t="n">
        <v>0.5639999999999999</v>
      </c>
      <c r="L3" s="2" t="n">
        <v>1.129</v>
      </c>
      <c r="M3" s="2" t="inlineStr">
        <is>
          <t>Commercial Lead</t>
        </is>
      </c>
      <c r="N3" s="2" t="inlineStr">
        <is>
          <t>Index exceeds allowance</t>
        </is>
      </c>
      <c r="O3" s="2" t="inlineStr">
        <is>
          <t>Early procurement, index strategy, market testing</t>
        </is>
      </c>
      <c r="P3" s="2" t="inlineStr">
        <is>
          <t>Cost impact derived from 01.07 Power Train / Substations exposure, project P50 $5.6B, and risk severity (4%/10%/20%).</t>
        </is>
      </c>
      <c r="Q3" s="2" t="inlineStr">
        <is>
          <t>Schedule impact mapped to A1700 Long-lead procurement with O/M/P delay 0/0/0 days and critical path sensitivity.</t>
        </is>
      </c>
    </row>
    <row r="4">
      <c r="A4" s="2" t="inlineStr">
        <is>
          <t>R-004</t>
        </is>
      </c>
      <c r="B4" s="2" t="inlineStr">
        <is>
          <t>Design maturity gap</t>
        </is>
      </c>
      <c r="C4" s="2" t="inlineStr">
        <is>
          <t>Technical</t>
        </is>
      </c>
      <c r="D4" s="2" t="n">
        <v>38</v>
      </c>
      <c r="E4" s="2" t="inlineStr">
        <is>
          <t>A1900</t>
        </is>
      </c>
      <c r="F4" s="2" t="inlineStr">
        <is>
          <t>01.09</t>
        </is>
      </c>
      <c r="G4" s="2" t="n">
        <v>15</v>
      </c>
      <c r="H4" s="2" t="n">
        <v>45</v>
      </c>
      <c r="I4" s="2" t="n">
        <v>120</v>
      </c>
      <c r="J4" s="2" t="n">
        <v>0.169</v>
      </c>
      <c r="K4" s="2" t="n">
        <v>0.508</v>
      </c>
      <c r="L4" s="2" t="n">
        <v>1.016</v>
      </c>
      <c r="M4" s="2" t="inlineStr">
        <is>
          <t>Design Manager</t>
        </is>
      </c>
      <c r="N4" s="2" t="inlineStr">
        <is>
          <t>Deliverables late</t>
        </is>
      </c>
      <c r="O4" s="2" t="inlineStr">
        <is>
          <t>Design maturity gates and independent review</t>
        </is>
      </c>
      <c r="P4" s="2" t="inlineStr">
        <is>
          <t>Cost impact derived from 01.09 Direct Labour exposure, project P50 $5.6B, and risk severity (3%/9%/18%).</t>
        </is>
      </c>
      <c r="Q4" s="2" t="inlineStr">
        <is>
          <t>Schedule impact mapped to A1900 Main construction / fabrication / assembly with O/M/P delay 15/45/120 days and critical path sensitivity.</t>
        </is>
      </c>
    </row>
    <row r="5">
      <c r="A5" s="2" t="inlineStr">
        <is>
          <t>R-001</t>
        </is>
      </c>
      <c r="B5" s="2" t="inlineStr">
        <is>
          <t>Scope growth</t>
        </is>
      </c>
      <c r="C5" s="2" t="inlineStr">
        <is>
          <t>Scope</t>
        </is>
      </c>
      <c r="D5" s="2" t="n">
        <v>42</v>
      </c>
      <c r="E5" s="2" t="inlineStr">
        <is>
          <t>A1600</t>
        </is>
      </c>
      <c r="F5" s="2" t="inlineStr">
        <is>
          <t>01.06</t>
        </is>
      </c>
      <c r="G5" s="2" t="n">
        <v>15</v>
      </c>
      <c r="H5" s="2" t="n">
        <v>45</v>
      </c>
      <c r="I5" s="2" t="n">
        <v>120</v>
      </c>
      <c r="J5" s="2" t="n">
        <v>0.169</v>
      </c>
      <c r="K5" s="2" t="n">
        <v>0.451</v>
      </c>
      <c r="L5" s="2" t="n">
        <v>0.903</v>
      </c>
      <c r="M5" s="2" t="inlineStr">
        <is>
          <t>Project Director</t>
        </is>
      </c>
      <c r="N5" s="2" t="inlineStr">
        <is>
          <t>Scope change rate exceeds threshold</t>
        </is>
      </c>
      <c r="O5" s="2" t="inlineStr">
        <is>
          <t>Freeze scope, change board, value gates</t>
        </is>
      </c>
      <c r="P5" s="2" t="inlineStr">
        <is>
          <t>Cost impact derived from 01.06 Data Halls / White Space exposure, project P50 $5.6B, and risk severity (3%/8%/16%).</t>
        </is>
      </c>
      <c r="Q5" s="2" t="inlineStr">
        <is>
          <t>Schedule impact mapped to A1600 Detailed design / IFC development with O/M/P delay 15/45/120 days and critical path sensitivity.</t>
        </is>
      </c>
    </row>
    <row r="6">
      <c r="A6" s="2" t="inlineStr">
        <is>
          <t>R-006</t>
        </is>
      </c>
      <c r="B6" s="2" t="inlineStr">
        <is>
          <t>Productivity underperformance</t>
        </is>
      </c>
      <c r="C6" s="2" t="inlineStr">
        <is>
          <t>Delivery</t>
        </is>
      </c>
      <c r="D6" s="2" t="n">
        <v>35</v>
      </c>
      <c r="E6" s="2" t="inlineStr">
        <is>
          <t>A2100</t>
        </is>
      </c>
      <c r="F6" s="2" t="inlineStr">
        <is>
          <t>01.11</t>
        </is>
      </c>
      <c r="G6" s="2" t="n">
        <v>15</v>
      </c>
      <c r="H6" s="2" t="n">
        <v>50</v>
      </c>
      <c r="I6" s="2" t="n">
        <v>130</v>
      </c>
      <c r="J6" s="2" t="n">
        <v>0.169</v>
      </c>
      <c r="K6" s="2" t="n">
        <v>0.451</v>
      </c>
      <c r="L6" s="2" t="n">
        <v>0.903</v>
      </c>
      <c r="M6" s="2" t="inlineStr">
        <is>
          <t>Delivery Lead</t>
        </is>
      </c>
      <c r="N6" s="2" t="inlineStr">
        <is>
          <t>SPI/CPI deteriorates</t>
        </is>
      </c>
      <c r="O6" s="2" t="inlineStr">
        <is>
          <t>Package productivity controls and daily planning</t>
        </is>
      </c>
      <c r="P6" s="2" t="inlineStr">
        <is>
          <t>Cost impact derived from 01.11 Plant / Equipment exposure, project P50 $5.6B, and risk severity (3%/8%/16%).</t>
        </is>
      </c>
      <c r="Q6" s="2" t="inlineStr">
        <is>
          <t>Schedule impact mapped to A2100 Commissioning, operations readiness and closeout with O/M/P delay 15/50/130 days and critical path sensitivity.</t>
        </is>
      </c>
    </row>
    <row r="7">
      <c r="A7" s="2" t="inlineStr">
        <is>
          <t>R-005</t>
        </is>
      </c>
      <c r="B7" s="2" t="inlineStr">
        <is>
          <t>Supply chain delay</t>
        </is>
      </c>
      <c r="C7" s="2" t="inlineStr">
        <is>
          <t>Procurement</t>
        </is>
      </c>
      <c r="D7" s="2" t="n">
        <v>40</v>
      </c>
      <c r="E7" s="2" t="inlineStr">
        <is>
          <t>A2000</t>
        </is>
      </c>
      <c r="F7" s="2" t="inlineStr">
        <is>
          <t>01.10</t>
        </is>
      </c>
      <c r="G7" s="2" t="n">
        <v>10</v>
      </c>
      <c r="H7" s="2" t="n">
        <v>40</v>
      </c>
      <c r="I7" s="2" t="n">
        <v>120</v>
      </c>
      <c r="J7" s="2" t="n">
        <v>0.113</v>
      </c>
      <c r="K7" s="2" t="n">
        <v>0.395</v>
      </c>
      <c r="L7" s="2" t="n">
        <v>0.846</v>
      </c>
      <c r="M7" s="2" t="inlineStr">
        <is>
          <t>Procurement Lead</t>
        </is>
      </c>
      <c r="N7" s="2" t="inlineStr">
        <is>
          <t>Supplier promise date slips</t>
        </is>
      </c>
      <c r="O7" s="2" t="inlineStr">
        <is>
          <t>Alternate suppliers, early orders, expediting</t>
        </is>
      </c>
      <c r="P7" s="2" t="inlineStr">
        <is>
          <t>Cost impact derived from 01.10 Direct Materials exposure, project P50 $5.6B, and risk severity (2%/7%/15%).</t>
        </is>
      </c>
      <c r="Q7" s="2" t="inlineStr">
        <is>
          <t>Schedule impact mapped to A2000 Systems integration and testing with O/M/P delay 10/40/120 days and critical path sensitivity.</t>
        </is>
      </c>
    </row>
    <row r="8">
      <c r="A8" s="2" t="inlineStr">
        <is>
          <t>R-D02</t>
        </is>
      </c>
      <c r="B8" s="2" t="inlineStr">
        <is>
          <t>Cooling system capacity</t>
        </is>
      </c>
      <c r="C8" s="2" t="inlineStr">
        <is>
          <t>Technical</t>
        </is>
      </c>
      <c r="D8" s="2" t="n">
        <v>34</v>
      </c>
      <c r="E8" s="2" t="inlineStr">
        <is>
          <t>A1500</t>
        </is>
      </c>
      <c r="F8" s="2" t="inlineStr">
        <is>
          <t>01.05</t>
        </is>
      </c>
      <c r="G8" s="2" t="n">
        <v>10</v>
      </c>
      <c r="H8" s="2" t="n">
        <v>40</v>
      </c>
      <c r="I8" s="2" t="n">
        <v>120</v>
      </c>
      <c r="J8" s="2" t="n">
        <v>0.113</v>
      </c>
      <c r="K8" s="2" t="n">
        <v>0.395</v>
      </c>
      <c r="L8" s="2" t="n">
        <v>0.846</v>
      </c>
      <c r="M8" s="2" t="inlineStr">
        <is>
          <t>MEP Lead</t>
        </is>
      </c>
      <c r="N8" s="2" t="inlineStr">
        <is>
          <t>Cooling tests fail</t>
        </is>
      </c>
      <c r="O8" s="2" t="inlineStr">
        <is>
          <t>Early thermal modelling and supplier validation</t>
        </is>
      </c>
      <c r="P8" s="2" t="inlineStr">
        <is>
          <t>Cost impact derived from 01.05 Specialist Equipment / Fit-Out exposure, project P50 $5.6B, and risk severity (2%/7%/15%).</t>
        </is>
      </c>
      <c r="Q8" s="2" t="inlineStr">
        <is>
          <t>Schedule impact mapped to A1500 Procurement strategy and tender packaging with O/M/P delay 10/40/120 days and critical path sensitivity.</t>
        </is>
      </c>
    </row>
    <row r="9">
      <c r="A9" s="2" t="inlineStr">
        <is>
          <t>R-008</t>
        </is>
      </c>
      <c r="B9" s="2" t="inlineStr">
        <is>
          <t>Interface misalignment</t>
        </is>
      </c>
      <c r="C9" s="2" t="inlineStr">
        <is>
          <t>Integration</t>
        </is>
      </c>
      <c r="D9" s="2" t="n">
        <v>34</v>
      </c>
      <c r="E9" s="2" t="inlineStr">
        <is>
          <t>P2000</t>
        </is>
      </c>
      <c r="F9" s="2" t="inlineStr">
        <is>
          <t>02.02</t>
        </is>
      </c>
      <c r="G9" s="2" t="n">
        <v>10</v>
      </c>
      <c r="H9" s="2" t="n">
        <v>35</v>
      </c>
      <c r="I9" s="2" t="n">
        <v>100</v>
      </c>
      <c r="J9" s="2" t="n">
        <v>0.113</v>
      </c>
      <c r="K9" s="2" t="n">
        <v>0.395</v>
      </c>
      <c r="L9" s="2" t="n">
        <v>0.79</v>
      </c>
      <c r="M9" s="2" t="inlineStr">
        <is>
          <t>Integration Manager</t>
        </is>
      </c>
      <c r="N9" s="2" t="inlineStr">
        <is>
          <t>Interface actions overdue</t>
        </is>
      </c>
      <c r="O9" s="2" t="inlineStr">
        <is>
          <t>ICDs and weekly interface board</t>
        </is>
      </c>
      <c r="P9" s="2" t="inlineStr">
        <is>
          <t>Cost impact derived from 02.02 Design / Professional Fees exposure, project P50 $5.6B, and risk severity (2%/7%/14%).</t>
        </is>
      </c>
      <c r="Q9" s="2" t="inlineStr">
        <is>
          <t>Schedule impact mapped to P2000 Data halls with O/M/P delay 10/35/100 days and critical path sensitivity.</t>
        </is>
      </c>
    </row>
    <row r="10">
      <c r="A10" s="2" t="inlineStr">
        <is>
          <t>R-007</t>
        </is>
      </c>
      <c r="B10" s="2" t="inlineStr">
        <is>
          <t>Commissioning delay</t>
        </is>
      </c>
      <c r="C10" s="2" t="inlineStr">
        <is>
          <t>Handover</t>
        </is>
      </c>
      <c r="D10" s="2" t="n">
        <v>32</v>
      </c>
      <c r="E10" s="2" t="inlineStr">
        <is>
          <t>P1000</t>
        </is>
      </c>
      <c r="F10" s="2" t="inlineStr">
        <is>
          <t>02.01</t>
        </is>
      </c>
      <c r="G10" s="2" t="n">
        <v>10</v>
      </c>
      <c r="H10" s="2" t="n">
        <v>35</v>
      </c>
      <c r="I10" s="2" t="n">
        <v>100</v>
      </c>
      <c r="J10" s="2" t="n">
        <v>0.113</v>
      </c>
      <c r="K10" s="2" t="n">
        <v>0.339</v>
      </c>
      <c r="L10" s="2" t="n">
        <v>0.677</v>
      </c>
      <c r="M10" s="2" t="inlineStr">
        <is>
          <t>Commissioning Lead</t>
        </is>
      </c>
      <c r="N10" s="2" t="inlineStr">
        <is>
          <t>Test failures trend upward</t>
        </is>
      </c>
      <c r="O10" s="2" t="inlineStr">
        <is>
          <t>Commissioning readiness and early test plans</t>
        </is>
      </c>
      <c r="P10" s="2" t="inlineStr">
        <is>
          <t>Cost impact derived from 02.01 General Conditions / Prelims exposure, project P50 $5.6B, and risk severity (2%/6%/12%).</t>
        </is>
      </c>
      <c r="Q10" s="2" t="inlineStr">
        <is>
          <t>Schedule impact mapped to P1000 Grid connection with O/M/P delay 10/35/100 days and critical path sensitivity.</t>
        </is>
      </c>
    </row>
    <row r="11">
      <c r="A11" s="2" t="inlineStr">
        <is>
          <t>R-003</t>
        </is>
      </c>
      <c r="B11" s="2" t="inlineStr">
        <is>
          <t>Permits / approvals delay</t>
        </is>
      </c>
      <c r="C11" s="2" t="inlineStr">
        <is>
          <t>Regulatory</t>
        </is>
      </c>
      <c r="D11" s="2" t="n">
        <v>35</v>
      </c>
      <c r="E11" s="2" t="inlineStr">
        <is>
          <t>A1800</t>
        </is>
      </c>
      <c r="F11" s="2" t="inlineStr">
        <is>
          <t>01.08</t>
        </is>
      </c>
      <c r="G11" s="2" t="n">
        <v>20</v>
      </c>
      <c r="H11" s="2" t="n">
        <v>70</v>
      </c>
      <c r="I11" s="2" t="n">
        <v>180</v>
      </c>
      <c r="J11" s="2" t="n">
        <v>0.056</v>
      </c>
      <c r="K11" s="2" t="n">
        <v>0.226</v>
      </c>
      <c r="L11" s="2" t="n">
        <v>0.451</v>
      </c>
      <c r="M11" s="2" t="inlineStr">
        <is>
          <t>Consents Lead</t>
        </is>
      </c>
      <c r="N11" s="2" t="inlineStr">
        <is>
          <t>Consent milestone slips</t>
        </is>
      </c>
      <c r="O11" s="2" t="inlineStr">
        <is>
          <t>Authority plan, consent tracker, early submissions</t>
        </is>
      </c>
      <c r="P11" s="2" t="inlineStr">
        <is>
          <t>Cost impact derived from 01.08 Cooling Systems exposure, project P50 $5.6B, and risk severity (1%/4%/8%).</t>
        </is>
      </c>
      <c r="Q11" s="2" t="inlineStr">
        <is>
          <t>Schedule impact mapped to A1800 Site / launch integration readiness with O/M/P delay 20/70/180 days and critical path sensitivity.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Percentile</t>
        </is>
      </c>
      <c r="B1" s="1" t="inlineStr">
        <is>
          <t>QCRA Cost BN</t>
        </is>
      </c>
      <c r="C1" s="1" t="inlineStr">
        <is>
          <t>QSRA Months</t>
        </is>
      </c>
    </row>
    <row r="2">
      <c r="A2" s="2" t="n">
        <v>1</v>
      </c>
      <c r="B2" s="2" t="n">
        <v>5.763</v>
      </c>
      <c r="C2" s="2" t="n">
        <v>45.69</v>
      </c>
    </row>
    <row r="3">
      <c r="A3" s="2" t="n">
        <v>5</v>
      </c>
      <c r="B3" s="2" t="n">
        <v>6.225</v>
      </c>
      <c r="C3" s="2" t="n">
        <v>47.97</v>
      </c>
    </row>
    <row r="4">
      <c r="A4" s="2" t="n">
        <v>10</v>
      </c>
      <c r="B4" s="2" t="n">
        <v>6.498</v>
      </c>
      <c r="C4" s="2" t="n">
        <v>49.27</v>
      </c>
    </row>
    <row r="5">
      <c r="A5" s="2" t="n">
        <v>20</v>
      </c>
      <c r="B5" s="2" t="n">
        <v>6.864</v>
      </c>
      <c r="C5" s="2" t="n">
        <v>50.86</v>
      </c>
    </row>
    <row r="6">
      <c r="A6" s="2" t="n">
        <v>30</v>
      </c>
      <c r="B6" s="2" t="n">
        <v>7.135</v>
      </c>
      <c r="C6" s="2" t="n">
        <v>52.11</v>
      </c>
    </row>
    <row r="7">
      <c r="A7" s="2" t="n">
        <v>40</v>
      </c>
      <c r="B7" s="2" t="n">
        <v>7.389</v>
      </c>
      <c r="C7" s="2" t="n">
        <v>53.26</v>
      </c>
    </row>
    <row r="8">
      <c r="A8" s="2" t="n">
        <v>50</v>
      </c>
      <c r="B8" s="2" t="n">
        <v>7.615</v>
      </c>
      <c r="C8" s="2" t="n">
        <v>54.34</v>
      </c>
    </row>
    <row r="9">
      <c r="A9" s="2" t="n">
        <v>60</v>
      </c>
      <c r="B9" s="2" t="n">
        <v>7.857</v>
      </c>
      <c r="C9" s="2" t="n">
        <v>55.45</v>
      </c>
    </row>
    <row r="10">
      <c r="A10" s="2" t="n">
        <v>70</v>
      </c>
      <c r="B10" s="2" t="n">
        <v>8.115</v>
      </c>
      <c r="C10" s="2" t="n">
        <v>56.71</v>
      </c>
    </row>
    <row r="11">
      <c r="A11" s="2" t="n">
        <v>80</v>
      </c>
      <c r="B11" s="2" t="n">
        <v>8.409000000000001</v>
      </c>
      <c r="C11" s="2" t="n">
        <v>58.08</v>
      </c>
    </row>
    <row r="12">
      <c r="A12" s="2" t="n">
        <v>90</v>
      </c>
      <c r="B12" s="2" t="n">
        <v>8.840999999999999</v>
      </c>
      <c r="C12" s="2" t="n">
        <v>60.27</v>
      </c>
    </row>
    <row r="13">
      <c r="A13" s="2" t="n">
        <v>95</v>
      </c>
      <c r="B13" s="2" t="n">
        <v>9.196999999999999</v>
      </c>
      <c r="C13" s="2" t="n">
        <v>61.98</v>
      </c>
    </row>
    <row r="14">
      <c r="A14" s="2" t="n">
        <v>99</v>
      </c>
      <c r="B14" s="2" t="n">
        <v>9.836</v>
      </c>
      <c r="C14" s="2" t="n">
        <v>65.03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Risk</t>
        </is>
      </c>
      <c r="B1" s="1" t="inlineStr">
        <is>
          <t>Title</t>
        </is>
      </c>
      <c r="C1" s="1" t="inlineStr">
        <is>
          <t>Activity</t>
        </is>
      </c>
      <c r="D1" s="1" t="inlineStr">
        <is>
          <t>CBS</t>
        </is>
      </c>
      <c r="E1" s="1" t="inlineStr">
        <is>
          <t>Cost Mean BN</t>
        </is>
      </c>
      <c r="F1" s="1" t="inlineStr">
        <is>
          <t>Schedule Mean Days</t>
        </is>
      </c>
      <c r="G1" s="1" t="inlineStr">
        <is>
          <t>Driver Score</t>
        </is>
      </c>
    </row>
    <row r="2">
      <c r="A2" s="2" t="inlineStr">
        <is>
          <t>R-D01</t>
        </is>
      </c>
      <c r="B2" s="2" t="inlineStr">
        <is>
          <t>Grid connection delay</t>
        </is>
      </c>
      <c r="C2" s="2" t="inlineStr">
        <is>
          <t>A1400</t>
        </is>
      </c>
      <c r="D2" s="2" t="inlineStr">
        <is>
          <t>01.04</t>
        </is>
      </c>
      <c r="E2" s="2" t="n">
        <v>0.313</v>
      </c>
      <c r="F2" s="2" t="n">
        <v>50.5</v>
      </c>
      <c r="G2" s="2" t="n">
        <v>36.37</v>
      </c>
    </row>
    <row r="3">
      <c r="A3" s="2" t="inlineStr">
        <is>
          <t>R-002</t>
        </is>
      </c>
      <c r="B3" s="2" t="inlineStr">
        <is>
          <t>Market escalation</t>
        </is>
      </c>
      <c r="C3" s="2" t="inlineStr">
        <is>
          <t>A1700</t>
        </is>
      </c>
      <c r="D3" s="2" t="inlineStr">
        <is>
          <t>01.07</t>
        </is>
      </c>
      <c r="E3" s="2" t="n">
        <v>0.288</v>
      </c>
      <c r="F3" s="2" t="n">
        <v>0</v>
      </c>
      <c r="G3" s="2" t="n">
        <v>28.77</v>
      </c>
    </row>
    <row r="4">
      <c r="A4" s="2" t="inlineStr">
        <is>
          <t>R-001</t>
        </is>
      </c>
      <c r="B4" s="2" t="inlineStr">
        <is>
          <t>Scope growth</t>
        </is>
      </c>
      <c r="C4" s="2" t="inlineStr">
        <is>
          <t>A1600</t>
        </is>
      </c>
      <c r="D4" s="2" t="inlineStr">
        <is>
          <t>01.06</t>
        </is>
      </c>
      <c r="E4" s="2" t="n">
        <v>0.216</v>
      </c>
      <c r="F4" s="2" t="n">
        <v>25.3</v>
      </c>
      <c r="G4" s="2" t="n">
        <v>24.17</v>
      </c>
    </row>
    <row r="5">
      <c r="A5" s="2" t="inlineStr">
        <is>
          <t>R-004</t>
        </is>
      </c>
      <c r="B5" s="2" t="inlineStr">
        <is>
          <t>Design maturity gap</t>
        </is>
      </c>
      <c r="C5" s="2" t="inlineStr">
        <is>
          <t>A1900</t>
        </is>
      </c>
      <c r="D5" s="2" t="inlineStr">
        <is>
          <t>01.09</t>
        </is>
      </c>
      <c r="E5" s="2" t="n">
        <v>0.212</v>
      </c>
      <c r="F5" s="2" t="n">
        <v>22.7</v>
      </c>
      <c r="G5" s="2" t="n">
        <v>23.5</v>
      </c>
    </row>
    <row r="6">
      <c r="A6" s="2" t="inlineStr">
        <is>
          <t>R-006</t>
        </is>
      </c>
      <c r="B6" s="2" t="inlineStr">
        <is>
          <t>Productivity underperformance</t>
        </is>
      </c>
      <c r="C6" s="2" t="inlineStr">
        <is>
          <t>A2100</t>
        </is>
      </c>
      <c r="D6" s="2" t="inlineStr">
        <is>
          <t>01.11</t>
        </is>
      </c>
      <c r="E6" s="2" t="n">
        <v>0.179</v>
      </c>
      <c r="F6" s="2" t="n">
        <v>22.9</v>
      </c>
      <c r="G6" s="2" t="n">
        <v>20.2</v>
      </c>
    </row>
    <row r="7">
      <c r="A7" s="2" t="inlineStr">
        <is>
          <t>R-005</t>
        </is>
      </c>
      <c r="B7" s="2" t="inlineStr">
        <is>
          <t>Supply chain delay</t>
        </is>
      </c>
      <c r="C7" s="2" t="inlineStr">
        <is>
          <t>A2000</t>
        </is>
      </c>
      <c r="D7" s="2" t="inlineStr">
        <is>
          <t>01.10</t>
        </is>
      </c>
      <c r="E7" s="2" t="n">
        <v>0.178</v>
      </c>
      <c r="F7" s="2" t="n">
        <v>22.2</v>
      </c>
      <c r="G7" s="2" t="n">
        <v>20</v>
      </c>
    </row>
    <row r="8">
      <c r="A8" s="2" t="inlineStr">
        <is>
          <t>R-D02</t>
        </is>
      </c>
      <c r="B8" s="2" t="inlineStr">
        <is>
          <t>Cooling system capacity</t>
        </is>
      </c>
      <c r="C8" s="2" t="inlineStr">
        <is>
          <t>A1500</t>
        </is>
      </c>
      <c r="D8" s="2" t="inlineStr">
        <is>
          <t>01.05</t>
        </is>
      </c>
      <c r="E8" s="2" t="n">
        <v>0.151</v>
      </c>
      <c r="F8" s="2" t="n">
        <v>19.1</v>
      </c>
      <c r="G8" s="2" t="n">
        <v>17.03</v>
      </c>
    </row>
    <row r="9">
      <c r="A9" s="2" t="inlineStr">
        <is>
          <t>R-008</t>
        </is>
      </c>
      <c r="B9" s="2" t="inlineStr">
        <is>
          <t>Interface misalignment</t>
        </is>
      </c>
      <c r="C9" s="2" t="inlineStr">
        <is>
          <t>P2000</t>
        </is>
      </c>
      <c r="D9" s="2" t="inlineStr">
        <is>
          <t>02.02</t>
        </is>
      </c>
      <c r="E9" s="2" t="n">
        <v>0.152</v>
      </c>
      <c r="F9" s="2" t="n">
        <v>17</v>
      </c>
      <c r="G9" s="2" t="n">
        <v>16.88</v>
      </c>
    </row>
    <row r="10">
      <c r="A10" s="2" t="inlineStr">
        <is>
          <t>R-007</t>
        </is>
      </c>
      <c r="B10" s="2" t="inlineStr">
        <is>
          <t>Commissioning delay</t>
        </is>
      </c>
      <c r="C10" s="2" t="inlineStr">
        <is>
          <t>P1000</t>
        </is>
      </c>
      <c r="D10" s="2" t="inlineStr">
        <is>
          <t>02.01</t>
        </is>
      </c>
      <c r="E10" s="2" t="n">
        <v>0.121</v>
      </c>
      <c r="F10" s="2" t="n">
        <v>15.7</v>
      </c>
      <c r="G10" s="2" t="n">
        <v>13.69</v>
      </c>
    </row>
    <row r="11">
      <c r="A11" s="2" t="inlineStr">
        <is>
          <t>R-003</t>
        </is>
      </c>
      <c r="B11" s="2" t="inlineStr">
        <is>
          <t>Permits / approvals delay</t>
        </is>
      </c>
      <c r="C11" s="2" t="inlineStr">
        <is>
          <t>A1800</t>
        </is>
      </c>
      <c r="D11" s="2" t="inlineStr">
        <is>
          <t>01.08</t>
        </is>
      </c>
      <c r="E11" s="2" t="n">
        <v>0.08599999999999999</v>
      </c>
      <c r="F11" s="2" t="n">
        <v>31.9</v>
      </c>
      <c r="G11" s="2" t="n">
        <v>11.76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</t>
        </is>
      </c>
      <c r="B1" s="1" t="inlineStr">
        <is>
          <t>Cost</t>
        </is>
      </c>
      <c r="C1" s="1" t="inlineStr">
        <is>
          <t>Schedule Months</t>
        </is>
      </c>
      <c r="D1" s="1" t="inlineStr">
        <is>
          <t>Risk</t>
        </is>
      </c>
      <c r="E1" s="1" t="inlineStr">
        <is>
          <t>Confidence</t>
        </is>
      </c>
      <c r="F1" s="1" t="inlineStr">
        <is>
          <t>Why</t>
        </is>
      </c>
    </row>
    <row r="2">
      <c r="A2" s="2" t="inlineStr">
        <is>
          <t>Base</t>
        </is>
      </c>
      <c r="B2" s="2" t="inlineStr">
        <is>
          <t>$5.6B</t>
        </is>
      </c>
      <c r="C2" s="2" t="n">
        <v>46</v>
      </c>
      <c r="D2" s="2" t="inlineStr">
        <is>
          <t>Medium</t>
        </is>
      </c>
      <c r="E2" s="2" t="n">
        <v>64</v>
      </c>
      <c r="F2" s="2" t="inlineStr">
        <is>
          <t>Balanced reference case.</t>
        </is>
      </c>
    </row>
    <row r="3">
      <c r="A3" s="2" t="inlineStr">
        <is>
          <t>Faster</t>
        </is>
      </c>
      <c r="B3" s="2" t="inlineStr">
        <is>
          <t>$6.3B</t>
        </is>
      </c>
      <c r="C3" s="2" t="n">
        <v>38</v>
      </c>
      <c r="D3" s="2" t="inlineStr">
        <is>
          <t>Medium</t>
        </is>
      </c>
      <c r="E3" s="2" t="n">
        <v>59</v>
      </c>
      <c r="F3" s="2" t="inlineStr">
        <is>
          <t>Parallel design/procurement, acceleration, premium logistics and higher interface risk.</t>
        </is>
      </c>
    </row>
    <row r="4">
      <c r="A4" s="2" t="inlineStr">
        <is>
          <t>Cheaper</t>
        </is>
      </c>
      <c r="B4" s="2" t="inlineStr">
        <is>
          <t>$5.0B</t>
        </is>
      </c>
      <c r="C4" s="2" t="n">
        <v>50</v>
      </c>
      <c r="D4" s="2" t="inlineStr">
        <is>
          <t>Medium</t>
        </is>
      </c>
      <c r="E4" s="2" t="n">
        <v>58</v>
      </c>
      <c r="F4" s="2" t="inlineStr">
        <is>
          <t>Value engineering, tighter scope and procurement competition, with schedule/quality exposure.</t>
        </is>
      </c>
    </row>
    <row r="5">
      <c r="A5" s="2" t="inlineStr">
        <is>
          <t>Lower Risk</t>
        </is>
      </c>
      <c r="B5" s="2" t="inlineStr">
        <is>
          <t>$6.2B</t>
        </is>
      </c>
      <c r="C5" s="2" t="n">
        <v>51</v>
      </c>
      <c r="D5" s="2" t="inlineStr">
        <is>
          <t>Low</t>
        </is>
      </c>
      <c r="E5" s="2" t="n">
        <v>77</v>
      </c>
      <c r="F5" s="2" t="inlineStr">
        <is>
          <t>More surveys, assurance, stage gates, contingency and schedule buffers.</t>
        </is>
      </c>
    </row>
    <row r="6">
      <c r="A6" s="2" t="inlineStr">
        <is>
          <t>Premium</t>
        </is>
      </c>
      <c r="B6" s="2" t="inlineStr">
        <is>
          <t>$6.5B</t>
        </is>
      </c>
      <c r="C6" s="2" t="n">
        <v>48</v>
      </c>
      <c r="D6" s="2" t="inlineStr">
        <is>
          <t>Low</t>
        </is>
      </c>
      <c r="E6" s="2" t="n">
        <v>80</v>
      </c>
      <c r="F6" s="2" t="inlineStr">
        <is>
          <t>Best assurance, independent review, early procurement and high-confidence governance.</t>
        </is>
      </c>
    </row>
    <row r="7">
      <c r="A7" s="2" t="inlineStr">
        <is>
          <t>Investor</t>
        </is>
      </c>
      <c r="B7" s="2" t="inlineStr">
        <is>
          <t>$5.5B</t>
        </is>
      </c>
      <c r="C7" s="2" t="n">
        <v>46</v>
      </c>
      <c r="D7" s="2" t="inlineStr">
        <is>
          <t>Low</t>
        </is>
      </c>
      <c r="E7" s="2" t="n">
        <v>71</v>
      </c>
      <c r="F7" s="2" t="inlineStr">
        <is>
          <t>Investment-framing case with transparent risk and commercial challenge.</t>
        </is>
      </c>
    </row>
    <row r="8">
      <c r="A8" s="2" t="inlineStr">
        <is>
          <t>Survival</t>
        </is>
      </c>
      <c r="B8" s="2" t="inlineStr">
        <is>
          <t>$4.4B</t>
        </is>
      </c>
      <c r="C8" s="2" t="n">
        <v>55</v>
      </c>
      <c r="D8" s="2" t="inlineStr">
        <is>
          <t>Medium</t>
        </is>
      </c>
      <c r="E8" s="2" t="n">
        <v>54</v>
      </c>
      <c r="F8" s="2" t="inlineStr">
        <is>
          <t>Minimum viable scope, warning-heavy, high residual risk.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Why</t>
        </is>
      </c>
    </row>
    <row r="2">
      <c r="A2" s="2" t="inlineStr">
        <is>
          <t>Hyperscale delivery benchmark</t>
        </is>
      </c>
      <c r="B2" s="2" t="inlineStr">
        <is>
          <t>$8M-$18M per MW equivalent</t>
        </is>
      </c>
      <c r="C2" s="2" t="inlineStr">
        <is>
          <t>Varies by power density, grid scope, cooling, land and regional constraints.</t>
        </is>
      </c>
    </row>
    <row r="3">
      <c r="A3" s="2" t="inlineStr">
        <is>
          <t>Schedule benchmark</t>
        </is>
      </c>
      <c r="B3" s="2" t="inlineStr">
        <is>
          <t>30-60 months</t>
        </is>
      </c>
      <c r="C3" s="2" t="inlineStr">
        <is>
          <t>Driven by grid connection, long-lead electrical equipment and phased fit-out.</t>
        </is>
      </c>
    </row>
    <row r="4">
      <c r="A4" s="2" t="inlineStr">
        <is>
          <t>Top benchmark gap</t>
        </is>
      </c>
      <c r="B4" s="2" t="inlineStr">
        <is>
          <t>Power availability</t>
        </is>
      </c>
      <c r="C4" s="2" t="inlineStr">
        <is>
          <t>Grid connection is frequently the dominant schedule and risk driver.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Step</t>
        </is>
      </c>
    </row>
    <row r="2">
      <c r="A2" s="2" t="inlineStr">
        <is>
          <t>Open with: 'Give me any project on Earth or in Space.'</t>
        </is>
      </c>
    </row>
    <row r="3">
      <c r="A3" s="2" t="inlineStr">
        <is>
          <t>Type the project into CASEY and hit Generate Full Intelligence Pack.</t>
        </is>
      </c>
    </row>
    <row r="4">
      <c r="A4" s="2" t="inlineStr">
        <is>
          <t>Show the executive dashboard: cost, schedule, risk, confidence and top drivers.</t>
        </is>
      </c>
    </row>
    <row r="5">
      <c r="A5" s="2" t="inlineStr">
        <is>
          <t>Switch to Monte Carlo: show QCRA/QSRA P-curves and tornado drivers linked to activities.</t>
        </is>
      </c>
    </row>
    <row r="6">
      <c r="A6" s="2" t="inlineStr">
        <is>
          <t>Show scenarios: Faster, Cheaper, Lower Risk and Premium with why each changed.</t>
        </is>
      </c>
    </row>
    <row r="7">
      <c r="A7" s="2" t="inlineStr">
        <is>
          <t>Open Output Centre: Excel, Risk CSV, XER, Word, PDF, PPTX and ZIP are ready.</t>
        </is>
      </c>
    </row>
    <row r="8">
      <c r="A8" s="2" t="inlineStr">
        <is>
          <t>Close with: 'Traditional advisory takes weeks. CASEY gives the first board-grade view in seconds.'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2026-05-02T19:07:50Z</dcterms:created>
  <dcterms:modified xmlns:dcterms="http://purl.org/dc/terms/" xmlns:xsi="http://www.w3.org/2001/XMLSchema-instance" xsi:type="dcterms:W3CDTF">2026-05-02T19:07:50Z</dcterms:modified>
</cp:coreProperties>
</file>