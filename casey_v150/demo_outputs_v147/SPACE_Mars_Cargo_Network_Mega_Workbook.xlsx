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5.758</v>
                </pt>
                <pt idx="1">
                  <v>1.44</v>
                </pt>
                <pt idx="2">
                  <v>0.379</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Estimate'!$B$6:$B$15</f>
              <strCache>
                <ptCount val="10"/>
                <pt idx="0">
                  <v>Site, enabling and controlled utilities</v>
                </pt>
                <pt idx="1">
                  <v>GMP cleanrooms and classified areas</v>
                </pt>
                <pt idx="2">
                  <v>Process equipment and fill-finish lines</v>
                </pt>
                <pt idx="3">
                  <v>Clean utilities</v>
                </pt>
                <pt idx="4">
                  <v>Automation, MES and digital validation</v>
                </pt>
                <pt idx="5">
                  <v>Cold-chain and automated logistics</v>
                </pt>
                <pt idx="6">
                  <v>commissioning validation / qualification</v>
                </pt>
                <pt idx="7">
                  <v>Regulatory readiness and quality systems</v>
                </pt>
                <pt idx="8">
                  <v>Programme management and operational readiness</v>
                </pt>
                <pt idx="9">
                  <v>Risk reserve</v>
                </pt>
              </strCache>
            </strRef>
          </cat>
          <val>
            <numRef>
              <f>'02 Selected Cost Estimate'!$F$6:$F$15</f>
              <numCache>
                <formatCode>General</formatCode>
                <ptCount val="10"/>
                <pt idx="0">
                  <v>0.53</v>
                </pt>
                <pt idx="1">
                  <v>1.288</v>
                </pt>
                <pt idx="2">
                  <v>1.667</v>
                </pt>
                <pt idx="3">
                  <v>1.061</v>
                </pt>
                <pt idx="4">
                  <v>0.606</v>
                </pt>
                <pt idx="5">
                  <v>0.606</v>
                </pt>
                <pt idx="6">
                  <v>0.606</v>
                </pt>
                <pt idx="7">
                  <v>0.379</v>
                </pt>
                <pt idx="8">
                  <v>0.455</v>
                </pt>
                <pt idx="9">
                  <v>0.379</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5.93</v>
                </pt>
                <pt idx="1">
                  <v>6.16</v>
                </pt>
                <pt idx="2">
                  <v>6.38</v>
                </pt>
                <pt idx="3">
                  <v>6.76</v>
                </pt>
                <pt idx="4">
                  <v>7.07</v>
                </pt>
                <pt idx="5">
                  <v>7.37</v>
                </pt>
                <pt idx="6">
                  <v>7.6</v>
                </pt>
                <pt idx="7">
                  <v>8.06</v>
                </pt>
                <pt idx="8">
                  <v>8.74</v>
                </pt>
                <pt idx="9">
                  <v>9.880000000000001</v>
                </pt>
                <pt idx="10">
                  <v>11.17</v>
                </pt>
                <pt idx="11">
                  <v>12.01</v>
                </pt>
                <pt idx="12">
                  <v>13.07</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61</v>
                </pt>
                <pt idx="1">
                  <v>63</v>
                </pt>
                <pt idx="2">
                  <v>64</v>
                </pt>
                <pt idx="3">
                  <v>68</v>
                </pt>
                <pt idx="4">
                  <v>70</v>
                </pt>
                <pt idx="5">
                  <v>73</v>
                </pt>
                <pt idx="6">
                  <v>75</v>
                </pt>
                <pt idx="7">
                  <v>80</v>
                </pt>
                <pt idx="8">
                  <v>86</v>
                </pt>
                <pt idx="9">
                  <v>98</v>
                </pt>
                <pt idx="10">
                  <v>110</v>
                </pt>
                <pt idx="11">
                  <v>118</v>
                </pt>
                <pt idx="12">
                  <v>129</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Market escalation</v>
                </pt>
                <pt idx="1">
                  <v>Design maturity gap</v>
                </pt>
                <pt idx="2">
                  <v>Scope growth</v>
                </pt>
                <pt idx="3">
                  <v>Productivity underperformance</v>
                </pt>
                <pt idx="4">
                  <v>Supply chain delay</v>
                </pt>
                <pt idx="5">
                  <v>Interface misalignment</v>
                </pt>
                <pt idx="6">
                  <v>Commissioning delay</v>
                </pt>
                <pt idx="7">
                  <v>Permits / approvals delay</v>
                </pt>
                <pt idx="8">
                  <v>Weather / environmental disruption</v>
                </pt>
                <pt idx="9">
                  <v>Interface ownership gap</v>
                </pt>
                <pt idx="10">
                  <v>Commercial claims escalation</v>
                </pt>
                <pt idx="11">
                  <v>Cyber / controls integration</v>
                </pt>
              </strCache>
            </strRef>
          </cat>
          <val>
            <numRef>
              <f>'08 QCRA Tornado'!$D$6:$D$17</f>
              <numCache>
                <formatCode>General</formatCode>
                <ptCount val="12"/>
                <pt idx="0">
                  <v>0.341</v>
                </pt>
                <pt idx="1">
                  <v>0.259</v>
                </pt>
                <pt idx="2">
                  <v>0.255</v>
                </pt>
                <pt idx="3">
                  <v>0.212</v>
                </pt>
                <pt idx="4">
                  <v>0.212</v>
                </pt>
                <pt idx="5">
                  <v>0.18</v>
                </pt>
                <pt idx="6">
                  <v>0.145</v>
                </pt>
                <pt idx="7">
                  <v>0.106</v>
                </pt>
                <pt idx="8">
                  <v>0.063</v>
                </pt>
                <pt idx="9">
                  <v>0.052</v>
                </pt>
                <pt idx="10">
                  <v>0.05</v>
                </pt>
                <pt idx="11">
                  <v>0.045</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Permits / approvals delay</v>
                </pt>
                <pt idx="1">
                  <v>Quality failure / rework</v>
                </pt>
                <pt idx="2">
                  <v>Data / estimate basis weakness</v>
                </pt>
                <pt idx="3">
                  <v>Scope growth</v>
                </pt>
                <pt idx="4">
                  <v>Productivity underperformance</v>
                </pt>
                <pt idx="5">
                  <v>Design maturity gap</v>
                </pt>
                <pt idx="6">
                  <v>Resource availability</v>
                </pt>
                <pt idx="7">
                  <v>Supply chain delay</v>
                </pt>
                <pt idx="8">
                  <v>Commissioning readiness gap</v>
                </pt>
                <pt idx="9">
                  <v>Weather / environmental disruption</v>
                </pt>
                <pt idx="10">
                  <v>Commercial claims escalation</v>
                </pt>
                <pt idx="11">
                  <v>Interface misalignment</v>
                </pt>
              </strCache>
            </strRef>
          </cat>
          <val>
            <numRef>
              <f>'09 QSRA Tornado'!$D$6:$D$17</f>
              <numCache>
                <formatCode>General</formatCode>
                <ptCount val="12"/>
                <pt idx="0">
                  <v>24.5</v>
                </pt>
                <pt idx="1">
                  <v>21.4</v>
                </pt>
                <pt idx="2">
                  <v>19.1</v>
                </pt>
                <pt idx="3">
                  <v>18.9</v>
                </pt>
                <pt idx="4">
                  <v>17.5</v>
                </pt>
                <pt idx="5">
                  <v>17.1</v>
                </pt>
                <pt idx="6">
                  <v>17.1</v>
                </pt>
                <pt idx="7">
                  <v>16</v>
                </pt>
                <pt idx="8">
                  <v>15.1</v>
                </pt>
                <pt idx="9">
                  <v>14.8</v>
                </pt>
                <pt idx="10">
                  <v>13.3</v>
                </pt>
                <pt idx="11">
                  <v>11.9</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Life Sciences Manufacturing Campus | Base scenario | Class 3 | Schedule Level 4</t>
        </is>
      </c>
    </row>
    <row r="5">
      <c r="A5" s="3" t="inlineStr">
        <is>
          <t>P50 Cost</t>
        </is>
      </c>
      <c r="B5" s="10" t="n"/>
      <c r="D5" s="3" t="inlineStr">
        <is>
          <t>Cost Range</t>
        </is>
      </c>
      <c r="E5" s="10" t="n"/>
      <c r="G5" s="3" t="inlineStr">
        <is>
          <t>QCRA P80</t>
        </is>
      </c>
      <c r="H5" s="10" t="n"/>
    </row>
    <row r="6">
      <c r="A6" s="4" t="inlineStr">
        <is>
          <t>$7.6B</t>
        </is>
      </c>
      <c r="B6" s="10" t="n"/>
      <c r="D6" s="4" t="inlineStr">
        <is>
          <t>$6.4B - $11.2B</t>
        </is>
      </c>
      <c r="E6" s="10" t="n"/>
      <c r="G6" s="4" t="inlineStr">
        <is>
          <t>$9.9B</t>
        </is>
      </c>
      <c r="H6" s="10" t="n"/>
    </row>
    <row r="8">
      <c r="A8" s="3" t="inlineStr">
        <is>
          <t>Schedule</t>
        </is>
      </c>
      <c r="B8" s="10" t="n"/>
      <c r="D8" s="3" t="inlineStr">
        <is>
          <t>QSRA P80</t>
        </is>
      </c>
      <c r="E8" s="10" t="n"/>
      <c r="G8" s="3" t="inlineStr">
        <is>
          <t>Risk / Confidence</t>
        </is>
      </c>
      <c r="H8" s="10" t="n"/>
    </row>
    <row r="9">
      <c r="A9" s="4" t="inlineStr">
        <is>
          <t>75 months</t>
        </is>
      </c>
      <c r="B9" s="10" t="n"/>
      <c r="D9" s="4" t="inlineStr">
        <is>
          <t>98 mo</t>
        </is>
      </c>
      <c r="E9" s="10" t="n"/>
      <c r="G9" s="4" t="inlineStr">
        <is>
          <t>Medium-High / 60%</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5.758</v>
      </c>
    </row>
    <row r="20">
      <c r="A20" s="6" t="inlineStr">
        <is>
          <t>Indirect</t>
        </is>
      </c>
      <c r="B20" s="8" t="n">
        <v>1.44</v>
      </c>
    </row>
    <row r="21">
      <c r="A21" s="6" t="inlineStr">
        <is>
          <t>Reserve</t>
        </is>
      </c>
      <c r="B21" s="8" t="n">
        <v>0.379</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5"/>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Site, enabling and controlled utilities</t>
        </is>
      </c>
      <c r="C6" s="6" t="inlineStr">
        <is>
          <t>Direct</t>
        </is>
      </c>
      <c r="D6" s="6" t="inlineStr">
        <is>
          <t>Site works, utility corridors and GMP-ready enabling infrastructure</t>
        </is>
      </c>
      <c r="E6" s="8" t="n">
        <v>0.424</v>
      </c>
      <c r="F6" s="8" t="n">
        <v>0.53</v>
      </c>
      <c r="G6" s="8" t="n">
        <v>0.6889999999999999</v>
      </c>
      <c r="H6" s="6" t="inlineStr">
        <is>
          <t>Site, enabling and controlled utilities priced as 7.0% of P50 from sector template, location factor 3.80, scale factor 1.00, complexity factor 1.50.</t>
        </is>
      </c>
    </row>
    <row r="7">
      <c r="A7" s="6" t="inlineStr">
        <is>
          <t>01.02</t>
        </is>
      </c>
      <c r="B7" s="6" t="inlineStr">
        <is>
          <t>GMP cleanrooms and classified areas</t>
        </is>
      </c>
      <c r="C7" s="6" t="inlineStr">
        <is>
          <t>Direct</t>
        </is>
      </c>
      <c r="D7" s="6" t="inlineStr">
        <is>
          <t>Cleanroom envelope, HVAC zoning, pressure cascades and finishes</t>
        </is>
      </c>
      <c r="E7" s="8" t="n">
        <v>1.03</v>
      </c>
      <c r="F7" s="8" t="n">
        <v>1.288</v>
      </c>
      <c r="G7" s="8" t="n">
        <v>1.674</v>
      </c>
      <c r="H7" s="6" t="inlineStr">
        <is>
          <t>GMP cleanrooms and classified areas priced as 17.0% of P50 from sector template, location factor 3.80, scale factor 1.00, complexity factor 1.50.</t>
        </is>
      </c>
    </row>
    <row r="8">
      <c r="A8" s="6" t="inlineStr">
        <is>
          <t>01.03</t>
        </is>
      </c>
      <c r="B8" s="6" t="inlineStr">
        <is>
          <t>Process equipment and fill-finish lines</t>
        </is>
      </c>
      <c r="C8" s="6" t="inlineStr">
        <is>
          <t>Direct</t>
        </is>
      </c>
      <c r="D8" s="6" t="inlineStr">
        <is>
          <t>Bioreactors, formulation, aseptic fill-finish and packaging equipment</t>
        </is>
      </c>
      <c r="E8" s="8" t="n">
        <v>1.334</v>
      </c>
      <c r="F8" s="8" t="n">
        <v>1.667</v>
      </c>
      <c r="G8" s="8" t="n">
        <v>2.167</v>
      </c>
      <c r="H8" s="6" t="inlineStr">
        <is>
          <t>Process equipment and fill-finish lines priced as 22.0% of P50 from sector template, location factor 3.80, scale factor 1.00, complexity factor 1.50.</t>
        </is>
      </c>
    </row>
    <row r="9">
      <c r="A9" s="6" t="inlineStr">
        <is>
          <t>01.04</t>
        </is>
      </c>
      <c r="B9" s="6" t="inlineStr">
        <is>
          <t>Clean utilities</t>
        </is>
      </c>
      <c r="C9" s="6" t="inlineStr">
        <is>
          <t>Direct</t>
        </is>
      </c>
      <c r="D9" s="6" t="inlineStr">
        <is>
          <t>WFI, clean steam, purified water, process gases and validated utility loops</t>
        </is>
      </c>
      <c r="E9" s="8" t="n">
        <v>0.849</v>
      </c>
      <c r="F9" s="8" t="n">
        <v>1.061</v>
      </c>
      <c r="G9" s="8" t="n">
        <v>1.379</v>
      </c>
      <c r="H9" s="6" t="inlineStr">
        <is>
          <t>Clean utilities priced as 14.0% of P50 from sector template, location factor 3.80, scale factor 1.00, complexity factor 1.50.</t>
        </is>
      </c>
    </row>
    <row r="10">
      <c r="A10" s="6" t="inlineStr">
        <is>
          <t>01.05</t>
        </is>
      </c>
      <c r="B10" s="6" t="inlineStr">
        <is>
          <t>Automation, MES and digital validation</t>
        </is>
      </c>
      <c r="C10" s="6" t="inlineStr">
        <is>
          <t>Direct</t>
        </is>
      </c>
      <c r="D10" s="6" t="inlineStr">
        <is>
          <t>Automation, MES, batch records, data integrity and validation systems</t>
        </is>
      </c>
      <c r="E10" s="8" t="n">
        <v>0.485</v>
      </c>
      <c r="F10" s="8" t="n">
        <v>0.606</v>
      </c>
      <c r="G10" s="8" t="n">
        <v>0.788</v>
      </c>
      <c r="H10" s="6" t="inlineStr">
        <is>
          <t>Automation, MES and digital validation priced as 8.0% of P50 from sector template, location factor 3.80, scale factor 1.00, complexity factor 1.50.</t>
        </is>
      </c>
    </row>
    <row r="11">
      <c r="A11" s="6" t="inlineStr">
        <is>
          <t>01.06</t>
        </is>
      </c>
      <c r="B11" s="6" t="inlineStr">
        <is>
          <t>Cold-chain and automated logistics</t>
        </is>
      </c>
      <c r="C11" s="6" t="inlineStr">
        <is>
          <t>Direct</t>
        </is>
      </c>
      <c r="D11" s="6" t="inlineStr">
        <is>
          <t>Cold storage, automated warehouse, packaging and distribution infrastructure</t>
        </is>
      </c>
      <c r="E11" s="8" t="n">
        <v>0.485</v>
      </c>
      <c r="F11" s="8" t="n">
        <v>0.606</v>
      </c>
      <c r="G11" s="8" t="n">
        <v>0.788</v>
      </c>
      <c r="H11" s="6" t="inlineStr">
        <is>
          <t>Cold-chain and automated logistics priced as 8.0% of P50 from sector template, location factor 3.80, scale factor 1.00, complexity factor 1.50.</t>
        </is>
      </c>
    </row>
    <row r="12">
      <c r="A12" s="6" t="inlineStr">
        <is>
          <t>02.01</t>
        </is>
      </c>
      <c r="B12" s="6" t="inlineStr">
        <is>
          <t>commissioning validation / qualification</t>
        </is>
      </c>
      <c r="C12" s="6" t="inlineStr">
        <is>
          <t>Indirect</t>
        </is>
      </c>
      <c r="D12" s="6" t="inlineStr">
        <is>
          <t>Commissioning, qualification, validation protocols and deviation closure</t>
        </is>
      </c>
      <c r="E12" s="8" t="n">
        <v>0.485</v>
      </c>
      <c r="F12" s="8" t="n">
        <v>0.606</v>
      </c>
      <c r="G12" s="8" t="n">
        <v>0.788</v>
      </c>
      <c r="H12" s="6" t="inlineStr">
        <is>
          <t>commissioning validation / qualification priced as 8.0% of P50 from sector template, location factor 3.80, scale factor 1.00, complexity factor 1.50.</t>
        </is>
      </c>
    </row>
    <row r="13">
      <c r="A13" s="6" t="inlineStr">
        <is>
          <t>02.02</t>
        </is>
      </c>
      <c r="B13" s="6" t="inlineStr">
        <is>
          <t>Regulatory readiness and quality systems</t>
        </is>
      </c>
      <c r="C13" s="6" t="inlineStr">
        <is>
          <t>Indirect</t>
        </is>
      </c>
      <c r="D13" s="6" t="inlineStr">
        <is>
          <t>FDA/EMA readiness, QA systems, inspection preparation and documentation</t>
        </is>
      </c>
      <c r="E13" s="8" t="n">
        <v>0.303</v>
      </c>
      <c r="F13" s="8" t="n">
        <v>0.379</v>
      </c>
      <c r="G13" s="8" t="n">
        <v>0.493</v>
      </c>
      <c r="H13" s="6" t="inlineStr">
        <is>
          <t>Regulatory readiness and quality systems priced as 5.0% of P50 from sector template, location factor 3.80, scale factor 1.00, complexity factor 1.50.</t>
        </is>
      </c>
    </row>
    <row r="14">
      <c r="A14" s="6" t="inlineStr">
        <is>
          <t>02.03</t>
        </is>
      </c>
      <c r="B14" s="6" t="inlineStr">
        <is>
          <t>Programme management and operational readiness</t>
        </is>
      </c>
      <c r="C14" s="6" t="inlineStr">
        <is>
          <t>Indirect</t>
        </is>
      </c>
      <c r="D14" s="6" t="inlineStr">
        <is>
          <t>PMO, controls, staffing readiness, training and handover</t>
        </is>
      </c>
      <c r="E14" s="8" t="n">
        <v>0.364</v>
      </c>
      <c r="F14" s="8" t="n">
        <v>0.455</v>
      </c>
      <c r="G14" s="8" t="n">
        <v>0.592</v>
      </c>
      <c r="H14" s="6" t="inlineStr">
        <is>
          <t>Programme management and operational readiness priced as 6.0% of P50 from sector template, location factor 3.80, scale factor 1.00, complexity factor 1.50.</t>
        </is>
      </c>
    </row>
    <row r="15">
      <c r="A15" s="6" t="inlineStr">
        <is>
          <t>03.01</t>
        </is>
      </c>
      <c r="B15" s="6" t="inlineStr">
        <is>
          <t>Risk reserve</t>
        </is>
      </c>
      <c r="C15" s="6" t="inlineStr">
        <is>
          <t>Reserve</t>
        </is>
      </c>
      <c r="D15" s="6" t="inlineStr">
        <is>
          <t>Allowance for GMP validation, equipment lead times and regulatory uncertainty</t>
        </is>
      </c>
      <c r="E15" s="8" t="n">
        <v>0.303</v>
      </c>
      <c r="F15" s="8" t="n">
        <v>0.379</v>
      </c>
      <c r="G15" s="8" t="n">
        <v>0.493</v>
      </c>
      <c r="H15" s="6" t="inlineStr">
        <is>
          <t>Risk reserve priced as 5.0% of P50 from sector template, location factor 3.80, scale factor 1.00, complexity factor 1.50.</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5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Site, enabling and controlled utilities</t>
        </is>
      </c>
      <c r="F6" s="6" t="inlineStr">
        <is>
          <t>Direct</t>
        </is>
      </c>
      <c r="G6" s="8" t="n">
        <v>0.477</v>
      </c>
      <c r="H6" s="8" t="n">
        <v>0.53</v>
      </c>
      <c r="I6" s="8" t="n">
        <v>0.609</v>
      </c>
    </row>
    <row r="7">
      <c r="A7" s="6" t="n">
        <v>1</v>
      </c>
      <c r="B7" s="6" t="inlineStr">
        <is>
          <t>Class 1 Definitive/Bid</t>
        </is>
      </c>
      <c r="C7" s="6" t="inlineStr">
        <is>
          <t>65-100% definition maturity</t>
        </is>
      </c>
      <c r="D7" s="6" t="inlineStr">
        <is>
          <t>01.02</t>
        </is>
      </c>
      <c r="E7" s="6" t="inlineStr">
        <is>
          <t>GMP cleanrooms and classified areas</t>
        </is>
      </c>
      <c r="F7" s="6" t="inlineStr">
        <is>
          <t>Direct</t>
        </is>
      </c>
      <c r="G7" s="8" t="n">
        <v>1.159</v>
      </c>
      <c r="H7" s="8" t="n">
        <v>1.288</v>
      </c>
      <c r="I7" s="8" t="n">
        <v>1.481</v>
      </c>
    </row>
    <row r="8">
      <c r="A8" s="6" t="n">
        <v>1</v>
      </c>
      <c r="B8" s="6" t="inlineStr">
        <is>
          <t>Class 1 Definitive/Bid</t>
        </is>
      </c>
      <c r="C8" s="6" t="inlineStr">
        <is>
          <t>65-100% definition maturity</t>
        </is>
      </c>
      <c r="D8" s="6" t="inlineStr">
        <is>
          <t>01.03</t>
        </is>
      </c>
      <c r="E8" s="6" t="inlineStr">
        <is>
          <t>Process equipment and fill-finish lines</t>
        </is>
      </c>
      <c r="F8" s="6" t="inlineStr">
        <is>
          <t>Direct</t>
        </is>
      </c>
      <c r="G8" s="8" t="n">
        <v>1.5</v>
      </c>
      <c r="H8" s="8" t="n">
        <v>1.667</v>
      </c>
      <c r="I8" s="8" t="n">
        <v>1.917</v>
      </c>
    </row>
    <row r="9">
      <c r="A9" s="6" t="n">
        <v>1</v>
      </c>
      <c r="B9" s="6" t="inlineStr">
        <is>
          <t>Class 1 Definitive/Bid</t>
        </is>
      </c>
      <c r="C9" s="6" t="inlineStr">
        <is>
          <t>65-100% definition maturity</t>
        </is>
      </c>
      <c r="D9" s="6" t="inlineStr">
        <is>
          <t>01.04</t>
        </is>
      </c>
      <c r="E9" s="6" t="inlineStr">
        <is>
          <t>Clean utilities</t>
        </is>
      </c>
      <c r="F9" s="6" t="inlineStr">
        <is>
          <t>Direct</t>
        </is>
      </c>
      <c r="G9" s="8" t="n">
        <v>0.955</v>
      </c>
      <c r="H9" s="8" t="n">
        <v>1.061</v>
      </c>
      <c r="I9" s="8" t="n">
        <v>1.22</v>
      </c>
    </row>
    <row r="10">
      <c r="A10" s="6" t="n">
        <v>1</v>
      </c>
      <c r="B10" s="6" t="inlineStr">
        <is>
          <t>Class 1 Definitive/Bid</t>
        </is>
      </c>
      <c r="C10" s="6" t="inlineStr">
        <is>
          <t>65-100% definition maturity</t>
        </is>
      </c>
      <c r="D10" s="6" t="inlineStr">
        <is>
          <t>01.05</t>
        </is>
      </c>
      <c r="E10" s="6" t="inlineStr">
        <is>
          <t>Automation, MES and digital validation</t>
        </is>
      </c>
      <c r="F10" s="6" t="inlineStr">
        <is>
          <t>Direct</t>
        </is>
      </c>
      <c r="G10" s="8" t="n">
        <v>0.545</v>
      </c>
      <c r="H10" s="8" t="n">
        <v>0.606</v>
      </c>
      <c r="I10" s="8" t="n">
        <v>0.697</v>
      </c>
    </row>
    <row r="11">
      <c r="A11" s="6" t="n">
        <v>1</v>
      </c>
      <c r="B11" s="6" t="inlineStr">
        <is>
          <t>Class 1 Definitive/Bid</t>
        </is>
      </c>
      <c r="C11" s="6" t="inlineStr">
        <is>
          <t>65-100% definition maturity</t>
        </is>
      </c>
      <c r="D11" s="6" t="inlineStr">
        <is>
          <t>01.06</t>
        </is>
      </c>
      <c r="E11" s="6" t="inlineStr">
        <is>
          <t>Cold-chain and automated logistics</t>
        </is>
      </c>
      <c r="F11" s="6" t="inlineStr">
        <is>
          <t>Direct</t>
        </is>
      </c>
      <c r="G11" s="8" t="n">
        <v>0.545</v>
      </c>
      <c r="H11" s="8" t="n">
        <v>0.606</v>
      </c>
      <c r="I11" s="8" t="n">
        <v>0.697</v>
      </c>
    </row>
    <row r="12">
      <c r="A12" s="6" t="n">
        <v>1</v>
      </c>
      <c r="B12" s="6" t="inlineStr">
        <is>
          <t>Class 1 Definitive/Bid</t>
        </is>
      </c>
      <c r="C12" s="6" t="inlineStr">
        <is>
          <t>65-100% definition maturity</t>
        </is>
      </c>
      <c r="D12" s="6" t="inlineStr">
        <is>
          <t>02.01</t>
        </is>
      </c>
      <c r="E12" s="6" t="inlineStr">
        <is>
          <t>commissioning validation / qualification</t>
        </is>
      </c>
      <c r="F12" s="6" t="inlineStr">
        <is>
          <t>Indirect</t>
        </is>
      </c>
      <c r="G12" s="8" t="n">
        <v>0.545</v>
      </c>
      <c r="H12" s="8" t="n">
        <v>0.606</v>
      </c>
      <c r="I12" s="8" t="n">
        <v>0.697</v>
      </c>
    </row>
    <row r="13">
      <c r="A13" s="6" t="n">
        <v>1</v>
      </c>
      <c r="B13" s="6" t="inlineStr">
        <is>
          <t>Class 1 Definitive/Bid</t>
        </is>
      </c>
      <c r="C13" s="6" t="inlineStr">
        <is>
          <t>65-100% definition maturity</t>
        </is>
      </c>
      <c r="D13" s="6" t="inlineStr">
        <is>
          <t>02.02</t>
        </is>
      </c>
      <c r="E13" s="6" t="inlineStr">
        <is>
          <t>Regulatory readiness and quality systems</t>
        </is>
      </c>
      <c r="F13" s="6" t="inlineStr">
        <is>
          <t>Indirect</t>
        </is>
      </c>
      <c r="G13" s="8" t="n">
        <v>0.341</v>
      </c>
      <c r="H13" s="8" t="n">
        <v>0.379</v>
      </c>
      <c r="I13" s="8" t="n">
        <v>0.436</v>
      </c>
    </row>
    <row r="14">
      <c r="A14" s="6" t="n">
        <v>1</v>
      </c>
      <c r="B14" s="6" t="inlineStr">
        <is>
          <t>Class 1 Definitive/Bid</t>
        </is>
      </c>
      <c r="C14" s="6" t="inlineStr">
        <is>
          <t>65-100% definition maturity</t>
        </is>
      </c>
      <c r="D14" s="6" t="inlineStr">
        <is>
          <t>02.03</t>
        </is>
      </c>
      <c r="E14" s="6" t="inlineStr">
        <is>
          <t>Programme management and operational readiness</t>
        </is>
      </c>
      <c r="F14" s="6" t="inlineStr">
        <is>
          <t>Indirect</t>
        </is>
      </c>
      <c r="G14" s="8" t="n">
        <v>0.41</v>
      </c>
      <c r="H14" s="8" t="n">
        <v>0.455</v>
      </c>
      <c r="I14" s="8" t="n">
        <v>0.523</v>
      </c>
    </row>
    <row r="15">
      <c r="A15" s="6" t="n">
        <v>1</v>
      </c>
      <c r="B15" s="6" t="inlineStr">
        <is>
          <t>Class 1 Definitive/Bid</t>
        </is>
      </c>
      <c r="C15" s="6" t="inlineStr">
        <is>
          <t>65-100% definition maturity</t>
        </is>
      </c>
      <c r="D15" s="6" t="inlineStr">
        <is>
          <t>03.01</t>
        </is>
      </c>
      <c r="E15" s="6" t="inlineStr">
        <is>
          <t>Risk reserve</t>
        </is>
      </c>
      <c r="F15" s="6" t="inlineStr">
        <is>
          <t>Reserve</t>
        </is>
      </c>
      <c r="G15" s="8" t="n">
        <v>0.341</v>
      </c>
      <c r="H15" s="8" t="n">
        <v>0.379</v>
      </c>
      <c r="I15" s="8" t="n">
        <v>0.436</v>
      </c>
    </row>
    <row r="16">
      <c r="A16" s="6" t="n">
        <v>2</v>
      </c>
      <c r="B16" s="6" t="inlineStr">
        <is>
          <t>Class 2 Control/Tender</t>
        </is>
      </c>
      <c r="C16" s="6" t="inlineStr">
        <is>
          <t>30-75% definition maturity</t>
        </is>
      </c>
      <c r="D16" s="6" t="inlineStr">
        <is>
          <t>01.01</t>
        </is>
      </c>
      <c r="E16" s="6" t="inlineStr">
        <is>
          <t>Site, enabling and controlled utilities</t>
        </is>
      </c>
      <c r="F16" s="6" t="inlineStr">
        <is>
          <t>Direct</t>
        </is>
      </c>
      <c r="G16" s="8" t="n">
        <v>0.451</v>
      </c>
      <c r="H16" s="8" t="n">
        <v>0.53</v>
      </c>
      <c r="I16" s="8" t="n">
        <v>0.636</v>
      </c>
    </row>
    <row r="17">
      <c r="A17" s="6" t="n">
        <v>2</v>
      </c>
      <c r="B17" s="6" t="inlineStr">
        <is>
          <t>Class 2 Control/Tender</t>
        </is>
      </c>
      <c r="C17" s="6" t="inlineStr">
        <is>
          <t>30-75% definition maturity</t>
        </is>
      </c>
      <c r="D17" s="6" t="inlineStr">
        <is>
          <t>01.02</t>
        </is>
      </c>
      <c r="E17" s="6" t="inlineStr">
        <is>
          <t>GMP cleanrooms and classified areas</t>
        </is>
      </c>
      <c r="F17" s="6" t="inlineStr">
        <is>
          <t>Direct</t>
        </is>
      </c>
      <c r="G17" s="8" t="n">
        <v>1.095</v>
      </c>
      <c r="H17" s="8" t="n">
        <v>1.288</v>
      </c>
      <c r="I17" s="8" t="n">
        <v>1.546</v>
      </c>
    </row>
    <row r="18">
      <c r="A18" s="6" t="n">
        <v>2</v>
      </c>
      <c r="B18" s="6" t="inlineStr">
        <is>
          <t>Class 2 Control/Tender</t>
        </is>
      </c>
      <c r="C18" s="6" t="inlineStr">
        <is>
          <t>30-75% definition maturity</t>
        </is>
      </c>
      <c r="D18" s="6" t="inlineStr">
        <is>
          <t>01.03</t>
        </is>
      </c>
      <c r="E18" s="6" t="inlineStr">
        <is>
          <t>Process equipment and fill-finish lines</t>
        </is>
      </c>
      <c r="F18" s="6" t="inlineStr">
        <is>
          <t>Direct</t>
        </is>
      </c>
      <c r="G18" s="8" t="n">
        <v>1.417</v>
      </c>
      <c r="H18" s="8" t="n">
        <v>1.667</v>
      </c>
      <c r="I18" s="8" t="n">
        <v>2</v>
      </c>
    </row>
    <row r="19">
      <c r="A19" s="6" t="n">
        <v>2</v>
      </c>
      <c r="B19" s="6" t="inlineStr">
        <is>
          <t>Class 2 Control/Tender</t>
        </is>
      </c>
      <c r="C19" s="6" t="inlineStr">
        <is>
          <t>30-75% definition maturity</t>
        </is>
      </c>
      <c r="D19" s="6" t="inlineStr">
        <is>
          <t>01.04</t>
        </is>
      </c>
      <c r="E19" s="6" t="inlineStr">
        <is>
          <t>Clean utilities</t>
        </is>
      </c>
      <c r="F19" s="6" t="inlineStr">
        <is>
          <t>Direct</t>
        </is>
      </c>
      <c r="G19" s="8" t="n">
        <v>0.902</v>
      </c>
      <c r="H19" s="8" t="n">
        <v>1.061</v>
      </c>
      <c r="I19" s="8" t="n">
        <v>1.273</v>
      </c>
    </row>
    <row r="20">
      <c r="A20" s="6" t="n">
        <v>2</v>
      </c>
      <c r="B20" s="6" t="inlineStr">
        <is>
          <t>Class 2 Control/Tender</t>
        </is>
      </c>
      <c r="C20" s="6" t="inlineStr">
        <is>
          <t>30-75% definition maturity</t>
        </is>
      </c>
      <c r="D20" s="6" t="inlineStr">
        <is>
          <t>01.05</t>
        </is>
      </c>
      <c r="E20" s="6" t="inlineStr">
        <is>
          <t>Automation, MES and digital validation</t>
        </is>
      </c>
      <c r="F20" s="6" t="inlineStr">
        <is>
          <t>Direct</t>
        </is>
      </c>
      <c r="G20" s="8" t="n">
        <v>0.515</v>
      </c>
      <c r="H20" s="8" t="n">
        <v>0.606</v>
      </c>
      <c r="I20" s="8" t="n">
        <v>0.727</v>
      </c>
    </row>
    <row r="21">
      <c r="A21" s="6" t="n">
        <v>2</v>
      </c>
      <c r="B21" s="6" t="inlineStr">
        <is>
          <t>Class 2 Control/Tender</t>
        </is>
      </c>
      <c r="C21" s="6" t="inlineStr">
        <is>
          <t>30-75% definition maturity</t>
        </is>
      </c>
      <c r="D21" s="6" t="inlineStr">
        <is>
          <t>01.06</t>
        </is>
      </c>
      <c r="E21" s="6" t="inlineStr">
        <is>
          <t>Cold-chain and automated logistics</t>
        </is>
      </c>
      <c r="F21" s="6" t="inlineStr">
        <is>
          <t>Direct</t>
        </is>
      </c>
      <c r="G21" s="8" t="n">
        <v>0.515</v>
      </c>
      <c r="H21" s="8" t="n">
        <v>0.606</v>
      </c>
      <c r="I21" s="8" t="n">
        <v>0.727</v>
      </c>
    </row>
    <row r="22">
      <c r="A22" s="6" t="n">
        <v>2</v>
      </c>
      <c r="B22" s="6" t="inlineStr">
        <is>
          <t>Class 2 Control/Tender</t>
        </is>
      </c>
      <c r="C22" s="6" t="inlineStr">
        <is>
          <t>30-75% definition maturity</t>
        </is>
      </c>
      <c r="D22" s="6" t="inlineStr">
        <is>
          <t>02.01</t>
        </is>
      </c>
      <c r="E22" s="6" t="inlineStr">
        <is>
          <t>commissioning validation / qualification</t>
        </is>
      </c>
      <c r="F22" s="6" t="inlineStr">
        <is>
          <t>Indirect</t>
        </is>
      </c>
      <c r="G22" s="8" t="n">
        <v>0.515</v>
      </c>
      <c r="H22" s="8" t="n">
        <v>0.606</v>
      </c>
      <c r="I22" s="8" t="n">
        <v>0.727</v>
      </c>
    </row>
    <row r="23">
      <c r="A23" s="6" t="n">
        <v>2</v>
      </c>
      <c r="B23" s="6" t="inlineStr">
        <is>
          <t>Class 2 Control/Tender</t>
        </is>
      </c>
      <c r="C23" s="6" t="inlineStr">
        <is>
          <t>30-75% definition maturity</t>
        </is>
      </c>
      <c r="D23" s="6" t="inlineStr">
        <is>
          <t>02.02</t>
        </is>
      </c>
      <c r="E23" s="6" t="inlineStr">
        <is>
          <t>Regulatory readiness and quality systems</t>
        </is>
      </c>
      <c r="F23" s="6" t="inlineStr">
        <is>
          <t>Indirect</t>
        </is>
      </c>
      <c r="G23" s="8" t="n">
        <v>0.322</v>
      </c>
      <c r="H23" s="8" t="n">
        <v>0.379</v>
      </c>
      <c r="I23" s="8" t="n">
        <v>0.455</v>
      </c>
    </row>
    <row r="24">
      <c r="A24" s="6" t="n">
        <v>2</v>
      </c>
      <c r="B24" s="6" t="inlineStr">
        <is>
          <t>Class 2 Control/Tender</t>
        </is>
      </c>
      <c r="C24" s="6" t="inlineStr">
        <is>
          <t>30-75% definition maturity</t>
        </is>
      </c>
      <c r="D24" s="6" t="inlineStr">
        <is>
          <t>02.03</t>
        </is>
      </c>
      <c r="E24" s="6" t="inlineStr">
        <is>
          <t>Programme management and operational readiness</t>
        </is>
      </c>
      <c r="F24" s="6" t="inlineStr">
        <is>
          <t>Indirect</t>
        </is>
      </c>
      <c r="G24" s="8" t="n">
        <v>0.387</v>
      </c>
      <c r="H24" s="8" t="n">
        <v>0.455</v>
      </c>
      <c r="I24" s="8" t="n">
        <v>0.546</v>
      </c>
    </row>
    <row r="25">
      <c r="A25" s="6" t="n">
        <v>2</v>
      </c>
      <c r="B25" s="6" t="inlineStr">
        <is>
          <t>Class 2 Control/Tender</t>
        </is>
      </c>
      <c r="C25" s="6" t="inlineStr">
        <is>
          <t>30-75% definition maturity</t>
        </is>
      </c>
      <c r="D25" s="6" t="inlineStr">
        <is>
          <t>03.01</t>
        </is>
      </c>
      <c r="E25" s="6" t="inlineStr">
        <is>
          <t>Risk reserve</t>
        </is>
      </c>
      <c r="F25" s="6" t="inlineStr">
        <is>
          <t>Reserve</t>
        </is>
      </c>
      <c r="G25" s="8" t="n">
        <v>0.322</v>
      </c>
      <c r="H25" s="8" t="n">
        <v>0.379</v>
      </c>
      <c r="I25" s="8" t="n">
        <v>0.455</v>
      </c>
    </row>
    <row r="26">
      <c r="A26" s="6" t="n">
        <v>3</v>
      </c>
      <c r="B26" s="6" t="inlineStr">
        <is>
          <t>Class 3 Budget Authorization</t>
        </is>
      </c>
      <c r="C26" s="6" t="inlineStr">
        <is>
          <t>10-40% definition maturity</t>
        </is>
      </c>
      <c r="D26" s="6" t="inlineStr">
        <is>
          <t>01.01</t>
        </is>
      </c>
      <c r="E26" s="6" t="inlineStr">
        <is>
          <t>Site, enabling and controlled utilities</t>
        </is>
      </c>
      <c r="F26" s="6" t="inlineStr">
        <is>
          <t>Direct</t>
        </is>
      </c>
      <c r="G26" s="8" t="n">
        <v>0.424</v>
      </c>
      <c r="H26" s="8" t="n">
        <v>0.53</v>
      </c>
      <c r="I26" s="8" t="n">
        <v>0.6889999999999999</v>
      </c>
    </row>
    <row r="27">
      <c r="A27" s="6" t="n">
        <v>3</v>
      </c>
      <c r="B27" s="6" t="inlineStr">
        <is>
          <t>Class 3 Budget Authorization</t>
        </is>
      </c>
      <c r="C27" s="6" t="inlineStr">
        <is>
          <t>10-40% definition maturity</t>
        </is>
      </c>
      <c r="D27" s="6" t="inlineStr">
        <is>
          <t>01.02</t>
        </is>
      </c>
      <c r="E27" s="6" t="inlineStr">
        <is>
          <t>GMP cleanrooms and classified areas</t>
        </is>
      </c>
      <c r="F27" s="6" t="inlineStr">
        <is>
          <t>Direct</t>
        </is>
      </c>
      <c r="G27" s="8" t="n">
        <v>1.03</v>
      </c>
      <c r="H27" s="8" t="n">
        <v>1.288</v>
      </c>
      <c r="I27" s="8" t="n">
        <v>1.674</v>
      </c>
    </row>
    <row r="28">
      <c r="A28" s="6" t="n">
        <v>3</v>
      </c>
      <c r="B28" s="6" t="inlineStr">
        <is>
          <t>Class 3 Budget Authorization</t>
        </is>
      </c>
      <c r="C28" s="6" t="inlineStr">
        <is>
          <t>10-40% definition maturity</t>
        </is>
      </c>
      <c r="D28" s="6" t="inlineStr">
        <is>
          <t>01.03</t>
        </is>
      </c>
      <c r="E28" s="6" t="inlineStr">
        <is>
          <t>Process equipment and fill-finish lines</t>
        </is>
      </c>
      <c r="F28" s="6" t="inlineStr">
        <is>
          <t>Direct</t>
        </is>
      </c>
      <c r="G28" s="8" t="n">
        <v>1.334</v>
      </c>
      <c r="H28" s="8" t="n">
        <v>1.667</v>
      </c>
      <c r="I28" s="8" t="n">
        <v>2.167</v>
      </c>
    </row>
    <row r="29">
      <c r="A29" s="6" t="n">
        <v>3</v>
      </c>
      <c r="B29" s="6" t="inlineStr">
        <is>
          <t>Class 3 Budget Authorization</t>
        </is>
      </c>
      <c r="C29" s="6" t="inlineStr">
        <is>
          <t>10-40% definition maturity</t>
        </is>
      </c>
      <c r="D29" s="6" t="inlineStr">
        <is>
          <t>01.04</t>
        </is>
      </c>
      <c r="E29" s="6" t="inlineStr">
        <is>
          <t>Clean utilities</t>
        </is>
      </c>
      <c r="F29" s="6" t="inlineStr">
        <is>
          <t>Direct</t>
        </is>
      </c>
      <c r="G29" s="8" t="n">
        <v>0.849</v>
      </c>
      <c r="H29" s="8" t="n">
        <v>1.061</v>
      </c>
      <c r="I29" s="8" t="n">
        <v>1.379</v>
      </c>
    </row>
    <row r="30">
      <c r="A30" s="6" t="n">
        <v>3</v>
      </c>
      <c r="B30" s="6" t="inlineStr">
        <is>
          <t>Class 3 Budget Authorization</t>
        </is>
      </c>
      <c r="C30" s="6" t="inlineStr">
        <is>
          <t>10-40% definition maturity</t>
        </is>
      </c>
      <c r="D30" s="6" t="inlineStr">
        <is>
          <t>01.05</t>
        </is>
      </c>
      <c r="E30" s="6" t="inlineStr">
        <is>
          <t>Automation, MES and digital validation</t>
        </is>
      </c>
      <c r="F30" s="6" t="inlineStr">
        <is>
          <t>Direct</t>
        </is>
      </c>
      <c r="G30" s="8" t="n">
        <v>0.485</v>
      </c>
      <c r="H30" s="8" t="n">
        <v>0.606</v>
      </c>
      <c r="I30" s="8" t="n">
        <v>0.788</v>
      </c>
    </row>
    <row r="31">
      <c r="A31" s="6" t="n">
        <v>3</v>
      </c>
      <c r="B31" s="6" t="inlineStr">
        <is>
          <t>Class 3 Budget Authorization</t>
        </is>
      </c>
      <c r="C31" s="6" t="inlineStr">
        <is>
          <t>10-40% definition maturity</t>
        </is>
      </c>
      <c r="D31" s="6" t="inlineStr">
        <is>
          <t>01.06</t>
        </is>
      </c>
      <c r="E31" s="6" t="inlineStr">
        <is>
          <t>Cold-chain and automated logistics</t>
        </is>
      </c>
      <c r="F31" s="6" t="inlineStr">
        <is>
          <t>Direct</t>
        </is>
      </c>
      <c r="G31" s="8" t="n">
        <v>0.485</v>
      </c>
      <c r="H31" s="8" t="n">
        <v>0.606</v>
      </c>
      <c r="I31" s="8" t="n">
        <v>0.788</v>
      </c>
    </row>
    <row r="32">
      <c r="A32" s="6" t="n">
        <v>3</v>
      </c>
      <c r="B32" s="6" t="inlineStr">
        <is>
          <t>Class 3 Budget Authorization</t>
        </is>
      </c>
      <c r="C32" s="6" t="inlineStr">
        <is>
          <t>10-40% definition maturity</t>
        </is>
      </c>
      <c r="D32" s="6" t="inlineStr">
        <is>
          <t>02.01</t>
        </is>
      </c>
      <c r="E32" s="6" t="inlineStr">
        <is>
          <t>commissioning validation / qualification</t>
        </is>
      </c>
      <c r="F32" s="6" t="inlineStr">
        <is>
          <t>Indirect</t>
        </is>
      </c>
      <c r="G32" s="8" t="n">
        <v>0.485</v>
      </c>
      <c r="H32" s="8" t="n">
        <v>0.606</v>
      </c>
      <c r="I32" s="8" t="n">
        <v>0.788</v>
      </c>
    </row>
    <row r="33">
      <c r="A33" s="6" t="n">
        <v>3</v>
      </c>
      <c r="B33" s="6" t="inlineStr">
        <is>
          <t>Class 3 Budget Authorization</t>
        </is>
      </c>
      <c r="C33" s="6" t="inlineStr">
        <is>
          <t>10-40% definition maturity</t>
        </is>
      </c>
      <c r="D33" s="6" t="inlineStr">
        <is>
          <t>02.02</t>
        </is>
      </c>
      <c r="E33" s="6" t="inlineStr">
        <is>
          <t>Regulatory readiness and quality systems</t>
        </is>
      </c>
      <c r="F33" s="6" t="inlineStr">
        <is>
          <t>Indirect</t>
        </is>
      </c>
      <c r="G33" s="8" t="n">
        <v>0.303</v>
      </c>
      <c r="H33" s="8" t="n">
        <v>0.379</v>
      </c>
      <c r="I33" s="8" t="n">
        <v>0.493</v>
      </c>
    </row>
    <row r="34">
      <c r="A34" s="6" t="n">
        <v>3</v>
      </c>
      <c r="B34" s="6" t="inlineStr">
        <is>
          <t>Class 3 Budget Authorization</t>
        </is>
      </c>
      <c r="C34" s="6" t="inlineStr">
        <is>
          <t>10-40% definition maturity</t>
        </is>
      </c>
      <c r="D34" s="6" t="inlineStr">
        <is>
          <t>02.03</t>
        </is>
      </c>
      <c r="E34" s="6" t="inlineStr">
        <is>
          <t>Programme management and operational readiness</t>
        </is>
      </c>
      <c r="F34" s="6" t="inlineStr">
        <is>
          <t>Indirect</t>
        </is>
      </c>
      <c r="G34" s="8" t="n">
        <v>0.364</v>
      </c>
      <c r="H34" s="8" t="n">
        <v>0.455</v>
      </c>
      <c r="I34" s="8" t="n">
        <v>0.592</v>
      </c>
    </row>
    <row r="35">
      <c r="A35" s="6" t="n">
        <v>3</v>
      </c>
      <c r="B35" s="6" t="inlineStr">
        <is>
          <t>Class 3 Budget Authorization</t>
        </is>
      </c>
      <c r="C35" s="6" t="inlineStr">
        <is>
          <t>10-40% definition maturity</t>
        </is>
      </c>
      <c r="D35" s="6" t="inlineStr">
        <is>
          <t>03.01</t>
        </is>
      </c>
      <c r="E35" s="6" t="inlineStr">
        <is>
          <t>Risk reserve</t>
        </is>
      </c>
      <c r="F35" s="6" t="inlineStr">
        <is>
          <t>Reserve</t>
        </is>
      </c>
      <c r="G35" s="8" t="n">
        <v>0.303</v>
      </c>
      <c r="H35" s="8" t="n">
        <v>0.379</v>
      </c>
      <c r="I35" s="8" t="n">
        <v>0.493</v>
      </c>
    </row>
    <row r="36">
      <c r="A36" s="6" t="n">
        <v>4</v>
      </c>
      <c r="B36" s="6" t="inlineStr">
        <is>
          <t>Class 4 Feasibility</t>
        </is>
      </c>
      <c r="C36" s="6" t="inlineStr">
        <is>
          <t>1-15% definition maturity</t>
        </is>
      </c>
      <c r="D36" s="6" t="inlineStr">
        <is>
          <t>01.01</t>
        </is>
      </c>
      <c r="E36" s="6" t="inlineStr">
        <is>
          <t>Site, enabling and controlled utilities</t>
        </is>
      </c>
      <c r="F36" s="6" t="inlineStr">
        <is>
          <t>Direct</t>
        </is>
      </c>
      <c r="G36" s="8" t="n">
        <v>0.371</v>
      </c>
      <c r="H36" s="8" t="n">
        <v>0.53</v>
      </c>
      <c r="I36" s="8" t="n">
        <v>0.795</v>
      </c>
    </row>
    <row r="37">
      <c r="A37" s="6" t="n">
        <v>4</v>
      </c>
      <c r="B37" s="6" t="inlineStr">
        <is>
          <t>Class 4 Feasibility</t>
        </is>
      </c>
      <c r="C37" s="6" t="inlineStr">
        <is>
          <t>1-15% definition maturity</t>
        </is>
      </c>
      <c r="D37" s="6" t="inlineStr">
        <is>
          <t>01.02</t>
        </is>
      </c>
      <c r="E37" s="6" t="inlineStr">
        <is>
          <t>GMP cleanrooms and classified areas</t>
        </is>
      </c>
      <c r="F37" s="6" t="inlineStr">
        <is>
          <t>Direct</t>
        </is>
      </c>
      <c r="G37" s="8" t="n">
        <v>0.902</v>
      </c>
      <c r="H37" s="8" t="n">
        <v>1.288</v>
      </c>
      <c r="I37" s="8" t="n">
        <v>1.932</v>
      </c>
    </row>
    <row r="38">
      <c r="A38" s="6" t="n">
        <v>4</v>
      </c>
      <c r="B38" s="6" t="inlineStr">
        <is>
          <t>Class 4 Feasibility</t>
        </is>
      </c>
      <c r="C38" s="6" t="inlineStr">
        <is>
          <t>1-15% definition maturity</t>
        </is>
      </c>
      <c r="D38" s="6" t="inlineStr">
        <is>
          <t>01.03</t>
        </is>
      </c>
      <c r="E38" s="6" t="inlineStr">
        <is>
          <t>Process equipment and fill-finish lines</t>
        </is>
      </c>
      <c r="F38" s="6" t="inlineStr">
        <is>
          <t>Direct</t>
        </is>
      </c>
      <c r="G38" s="8" t="n">
        <v>1.167</v>
      </c>
      <c r="H38" s="8" t="n">
        <v>1.667</v>
      </c>
      <c r="I38" s="8" t="n">
        <v>2.501</v>
      </c>
    </row>
    <row r="39">
      <c r="A39" s="6" t="n">
        <v>4</v>
      </c>
      <c r="B39" s="6" t="inlineStr">
        <is>
          <t>Class 4 Feasibility</t>
        </is>
      </c>
      <c r="C39" s="6" t="inlineStr">
        <is>
          <t>1-15% definition maturity</t>
        </is>
      </c>
      <c r="D39" s="6" t="inlineStr">
        <is>
          <t>01.04</t>
        </is>
      </c>
      <c r="E39" s="6" t="inlineStr">
        <is>
          <t>Clean utilities</t>
        </is>
      </c>
      <c r="F39" s="6" t="inlineStr">
        <is>
          <t>Direct</t>
        </is>
      </c>
      <c r="G39" s="8" t="n">
        <v>0.743</v>
      </c>
      <c r="H39" s="8" t="n">
        <v>1.061</v>
      </c>
      <c r="I39" s="8" t="n">
        <v>1.591</v>
      </c>
    </row>
    <row r="40">
      <c r="A40" s="6" t="n">
        <v>4</v>
      </c>
      <c r="B40" s="6" t="inlineStr">
        <is>
          <t>Class 4 Feasibility</t>
        </is>
      </c>
      <c r="C40" s="6" t="inlineStr">
        <is>
          <t>1-15% definition maturity</t>
        </is>
      </c>
      <c r="D40" s="6" t="inlineStr">
        <is>
          <t>01.05</t>
        </is>
      </c>
      <c r="E40" s="6" t="inlineStr">
        <is>
          <t>Automation, MES and digital validation</t>
        </is>
      </c>
      <c r="F40" s="6" t="inlineStr">
        <is>
          <t>Direct</t>
        </is>
      </c>
      <c r="G40" s="8" t="n">
        <v>0.424</v>
      </c>
      <c r="H40" s="8" t="n">
        <v>0.606</v>
      </c>
      <c r="I40" s="8" t="n">
        <v>0.909</v>
      </c>
    </row>
    <row r="41">
      <c r="A41" s="6" t="n">
        <v>4</v>
      </c>
      <c r="B41" s="6" t="inlineStr">
        <is>
          <t>Class 4 Feasibility</t>
        </is>
      </c>
      <c r="C41" s="6" t="inlineStr">
        <is>
          <t>1-15% definition maturity</t>
        </is>
      </c>
      <c r="D41" s="6" t="inlineStr">
        <is>
          <t>01.06</t>
        </is>
      </c>
      <c r="E41" s="6" t="inlineStr">
        <is>
          <t>Cold-chain and automated logistics</t>
        </is>
      </c>
      <c r="F41" s="6" t="inlineStr">
        <is>
          <t>Direct</t>
        </is>
      </c>
      <c r="G41" s="8" t="n">
        <v>0.424</v>
      </c>
      <c r="H41" s="8" t="n">
        <v>0.606</v>
      </c>
      <c r="I41" s="8" t="n">
        <v>0.909</v>
      </c>
    </row>
    <row r="42">
      <c r="A42" s="6" t="n">
        <v>4</v>
      </c>
      <c r="B42" s="6" t="inlineStr">
        <is>
          <t>Class 4 Feasibility</t>
        </is>
      </c>
      <c r="C42" s="6" t="inlineStr">
        <is>
          <t>1-15% definition maturity</t>
        </is>
      </c>
      <c r="D42" s="6" t="inlineStr">
        <is>
          <t>02.01</t>
        </is>
      </c>
      <c r="E42" s="6" t="inlineStr">
        <is>
          <t>commissioning validation / qualification</t>
        </is>
      </c>
      <c r="F42" s="6" t="inlineStr">
        <is>
          <t>Indirect</t>
        </is>
      </c>
      <c r="G42" s="8" t="n">
        <v>0.424</v>
      </c>
      <c r="H42" s="8" t="n">
        <v>0.606</v>
      </c>
      <c r="I42" s="8" t="n">
        <v>0.909</v>
      </c>
    </row>
    <row r="43">
      <c r="A43" s="6" t="n">
        <v>4</v>
      </c>
      <c r="B43" s="6" t="inlineStr">
        <is>
          <t>Class 4 Feasibility</t>
        </is>
      </c>
      <c r="C43" s="6" t="inlineStr">
        <is>
          <t>1-15% definition maturity</t>
        </is>
      </c>
      <c r="D43" s="6" t="inlineStr">
        <is>
          <t>02.02</t>
        </is>
      </c>
      <c r="E43" s="6" t="inlineStr">
        <is>
          <t>Regulatory readiness and quality systems</t>
        </is>
      </c>
      <c r="F43" s="6" t="inlineStr">
        <is>
          <t>Indirect</t>
        </is>
      </c>
      <c r="G43" s="8" t="n">
        <v>0.265</v>
      </c>
      <c r="H43" s="8" t="n">
        <v>0.379</v>
      </c>
      <c r="I43" s="8" t="n">
        <v>0.569</v>
      </c>
    </row>
    <row r="44">
      <c r="A44" s="6" t="n">
        <v>4</v>
      </c>
      <c r="B44" s="6" t="inlineStr">
        <is>
          <t>Class 4 Feasibility</t>
        </is>
      </c>
      <c r="C44" s="6" t="inlineStr">
        <is>
          <t>1-15% definition maturity</t>
        </is>
      </c>
      <c r="D44" s="6" t="inlineStr">
        <is>
          <t>02.03</t>
        </is>
      </c>
      <c r="E44" s="6" t="inlineStr">
        <is>
          <t>Programme management and operational readiness</t>
        </is>
      </c>
      <c r="F44" s="6" t="inlineStr">
        <is>
          <t>Indirect</t>
        </is>
      </c>
      <c r="G44" s="8" t="n">
        <v>0.319</v>
      </c>
      <c r="H44" s="8" t="n">
        <v>0.455</v>
      </c>
      <c r="I44" s="8" t="n">
        <v>0.6820000000000001</v>
      </c>
    </row>
    <row r="45">
      <c r="A45" s="6" t="n">
        <v>4</v>
      </c>
      <c r="B45" s="6" t="inlineStr">
        <is>
          <t>Class 4 Feasibility</t>
        </is>
      </c>
      <c r="C45" s="6" t="inlineStr">
        <is>
          <t>1-15% definition maturity</t>
        </is>
      </c>
      <c r="D45" s="6" t="inlineStr">
        <is>
          <t>03.01</t>
        </is>
      </c>
      <c r="E45" s="6" t="inlineStr">
        <is>
          <t>Risk reserve</t>
        </is>
      </c>
      <c r="F45" s="6" t="inlineStr">
        <is>
          <t>Reserve</t>
        </is>
      </c>
      <c r="G45" s="8" t="n">
        <v>0.265</v>
      </c>
      <c r="H45" s="8" t="n">
        <v>0.379</v>
      </c>
      <c r="I45" s="8" t="n">
        <v>0.569</v>
      </c>
    </row>
    <row r="46">
      <c r="A46" s="6" t="n">
        <v>5</v>
      </c>
      <c r="B46" s="6" t="inlineStr">
        <is>
          <t>Class 5 Concept Screening</t>
        </is>
      </c>
      <c r="C46" s="6" t="inlineStr">
        <is>
          <t>0-2% definition maturity</t>
        </is>
      </c>
      <c r="D46" s="6" t="inlineStr">
        <is>
          <t>01.01</t>
        </is>
      </c>
      <c r="E46" s="6" t="inlineStr">
        <is>
          <t>Site, enabling and controlled utilities</t>
        </is>
      </c>
      <c r="F46" s="6" t="inlineStr">
        <is>
          <t>Direct</t>
        </is>
      </c>
      <c r="G46" s="8" t="n">
        <v>0.265</v>
      </c>
      <c r="H46" s="8" t="n">
        <v>0.53</v>
      </c>
      <c r="I46" s="8" t="n">
        <v>1.06</v>
      </c>
    </row>
    <row r="47">
      <c r="A47" s="6" t="n">
        <v>5</v>
      </c>
      <c r="B47" s="6" t="inlineStr">
        <is>
          <t>Class 5 Concept Screening</t>
        </is>
      </c>
      <c r="C47" s="6" t="inlineStr">
        <is>
          <t>0-2% definition maturity</t>
        </is>
      </c>
      <c r="D47" s="6" t="inlineStr">
        <is>
          <t>01.02</t>
        </is>
      </c>
      <c r="E47" s="6" t="inlineStr">
        <is>
          <t>GMP cleanrooms and classified areas</t>
        </is>
      </c>
      <c r="F47" s="6" t="inlineStr">
        <is>
          <t>Direct</t>
        </is>
      </c>
      <c r="G47" s="8" t="n">
        <v>0.644</v>
      </c>
      <c r="H47" s="8" t="n">
        <v>1.288</v>
      </c>
      <c r="I47" s="8" t="n">
        <v>2.576</v>
      </c>
    </row>
    <row r="48">
      <c r="A48" s="6" t="n">
        <v>5</v>
      </c>
      <c r="B48" s="6" t="inlineStr">
        <is>
          <t>Class 5 Concept Screening</t>
        </is>
      </c>
      <c r="C48" s="6" t="inlineStr">
        <is>
          <t>0-2% definition maturity</t>
        </is>
      </c>
      <c r="D48" s="6" t="inlineStr">
        <is>
          <t>01.03</t>
        </is>
      </c>
      <c r="E48" s="6" t="inlineStr">
        <is>
          <t>Process equipment and fill-finish lines</t>
        </is>
      </c>
      <c r="F48" s="6" t="inlineStr">
        <is>
          <t>Direct</t>
        </is>
      </c>
      <c r="G48" s="8" t="n">
        <v>0.834</v>
      </c>
      <c r="H48" s="8" t="n">
        <v>1.667</v>
      </c>
      <c r="I48" s="8" t="n">
        <v>3.334</v>
      </c>
    </row>
    <row r="49">
      <c r="A49" s="6" t="n">
        <v>5</v>
      </c>
      <c r="B49" s="6" t="inlineStr">
        <is>
          <t>Class 5 Concept Screening</t>
        </is>
      </c>
      <c r="C49" s="6" t="inlineStr">
        <is>
          <t>0-2% definition maturity</t>
        </is>
      </c>
      <c r="D49" s="6" t="inlineStr">
        <is>
          <t>01.04</t>
        </is>
      </c>
      <c r="E49" s="6" t="inlineStr">
        <is>
          <t>Clean utilities</t>
        </is>
      </c>
      <c r="F49" s="6" t="inlineStr">
        <is>
          <t>Direct</t>
        </is>
      </c>
      <c r="G49" s="8" t="n">
        <v>0.53</v>
      </c>
      <c r="H49" s="8" t="n">
        <v>1.061</v>
      </c>
      <c r="I49" s="8" t="n">
        <v>2.122</v>
      </c>
    </row>
    <row r="50">
      <c r="A50" s="6" t="n">
        <v>5</v>
      </c>
      <c r="B50" s="6" t="inlineStr">
        <is>
          <t>Class 5 Concept Screening</t>
        </is>
      </c>
      <c r="C50" s="6" t="inlineStr">
        <is>
          <t>0-2% definition maturity</t>
        </is>
      </c>
      <c r="D50" s="6" t="inlineStr">
        <is>
          <t>01.05</t>
        </is>
      </c>
      <c r="E50" s="6" t="inlineStr">
        <is>
          <t>Automation, MES and digital validation</t>
        </is>
      </c>
      <c r="F50" s="6" t="inlineStr">
        <is>
          <t>Direct</t>
        </is>
      </c>
      <c r="G50" s="8" t="n">
        <v>0.303</v>
      </c>
      <c r="H50" s="8" t="n">
        <v>0.606</v>
      </c>
      <c r="I50" s="8" t="n">
        <v>1.212</v>
      </c>
    </row>
    <row r="51">
      <c r="A51" s="6" t="n">
        <v>5</v>
      </c>
      <c r="B51" s="6" t="inlineStr">
        <is>
          <t>Class 5 Concept Screening</t>
        </is>
      </c>
      <c r="C51" s="6" t="inlineStr">
        <is>
          <t>0-2% definition maturity</t>
        </is>
      </c>
      <c r="D51" s="6" t="inlineStr">
        <is>
          <t>01.06</t>
        </is>
      </c>
      <c r="E51" s="6" t="inlineStr">
        <is>
          <t>Cold-chain and automated logistics</t>
        </is>
      </c>
      <c r="F51" s="6" t="inlineStr">
        <is>
          <t>Direct</t>
        </is>
      </c>
      <c r="G51" s="8" t="n">
        <v>0.303</v>
      </c>
      <c r="H51" s="8" t="n">
        <v>0.606</v>
      </c>
      <c r="I51" s="8" t="n">
        <v>1.212</v>
      </c>
    </row>
    <row r="52">
      <c r="A52" s="6" t="n">
        <v>5</v>
      </c>
      <c r="B52" s="6" t="inlineStr">
        <is>
          <t>Class 5 Concept Screening</t>
        </is>
      </c>
      <c r="C52" s="6" t="inlineStr">
        <is>
          <t>0-2% definition maturity</t>
        </is>
      </c>
      <c r="D52" s="6" t="inlineStr">
        <is>
          <t>02.01</t>
        </is>
      </c>
      <c r="E52" s="6" t="inlineStr">
        <is>
          <t>commissioning validation / qualification</t>
        </is>
      </c>
      <c r="F52" s="6" t="inlineStr">
        <is>
          <t>Indirect</t>
        </is>
      </c>
      <c r="G52" s="8" t="n">
        <v>0.303</v>
      </c>
      <c r="H52" s="8" t="n">
        <v>0.606</v>
      </c>
      <c r="I52" s="8" t="n">
        <v>1.212</v>
      </c>
    </row>
    <row r="53">
      <c r="A53" s="6" t="n">
        <v>5</v>
      </c>
      <c r="B53" s="6" t="inlineStr">
        <is>
          <t>Class 5 Concept Screening</t>
        </is>
      </c>
      <c r="C53" s="6" t="inlineStr">
        <is>
          <t>0-2% definition maturity</t>
        </is>
      </c>
      <c r="D53" s="6" t="inlineStr">
        <is>
          <t>02.02</t>
        </is>
      </c>
      <c r="E53" s="6" t="inlineStr">
        <is>
          <t>Regulatory readiness and quality systems</t>
        </is>
      </c>
      <c r="F53" s="6" t="inlineStr">
        <is>
          <t>Indirect</t>
        </is>
      </c>
      <c r="G53" s="8" t="n">
        <v>0.19</v>
      </c>
      <c r="H53" s="8" t="n">
        <v>0.379</v>
      </c>
      <c r="I53" s="8" t="n">
        <v>0.758</v>
      </c>
    </row>
    <row r="54">
      <c r="A54" s="6" t="n">
        <v>5</v>
      </c>
      <c r="B54" s="6" t="inlineStr">
        <is>
          <t>Class 5 Concept Screening</t>
        </is>
      </c>
      <c r="C54" s="6" t="inlineStr">
        <is>
          <t>0-2% definition maturity</t>
        </is>
      </c>
      <c r="D54" s="6" t="inlineStr">
        <is>
          <t>02.03</t>
        </is>
      </c>
      <c r="E54" s="6" t="inlineStr">
        <is>
          <t>Programme management and operational readiness</t>
        </is>
      </c>
      <c r="F54" s="6" t="inlineStr">
        <is>
          <t>Indirect</t>
        </is>
      </c>
      <c r="G54" s="8" t="n">
        <v>0.228</v>
      </c>
      <c r="H54" s="8" t="n">
        <v>0.455</v>
      </c>
      <c r="I54" s="8" t="n">
        <v>0.91</v>
      </c>
    </row>
    <row r="55">
      <c r="A55" s="6" t="n">
        <v>5</v>
      </c>
      <c r="B55" s="6" t="inlineStr">
        <is>
          <t>Class 5 Concept Screening</t>
        </is>
      </c>
      <c r="C55" s="6" t="inlineStr">
        <is>
          <t>0-2% definition maturity</t>
        </is>
      </c>
      <c r="D55" s="6" t="inlineStr">
        <is>
          <t>03.01</t>
        </is>
      </c>
      <c r="E55" s="6" t="inlineStr">
        <is>
          <t>Risk reserve</t>
        </is>
      </c>
      <c r="F55" s="6" t="inlineStr">
        <is>
          <t>Reserve</t>
        </is>
      </c>
      <c r="G55" s="8" t="n">
        <v>0.19</v>
      </c>
      <c r="H55" s="8" t="n">
        <v>0.379</v>
      </c>
      <c r="I55" s="8" t="n">
        <v>0.758</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$16.0B</t>
        </is>
      </c>
      <c r="C6" s="6" t="n">
        <v>96</v>
      </c>
      <c r="D6" s="6" t="inlineStr">
        <is>
          <t>Medium-High</t>
        </is>
      </c>
      <c r="E6" s="6" t="n">
        <v>60</v>
      </c>
      <c r="F6" s="6" t="inlineStr">
        <is>
          <t>Balanced reference case.</t>
        </is>
      </c>
      <c r="G6" s="6" t="inlineStr">
        <is>
          <t>Decision trade-off: cost / time / risk / confidence</t>
        </is>
      </c>
    </row>
    <row r="7">
      <c r="A7" s="6" t="inlineStr">
        <is>
          <t>Faster</t>
        </is>
      </c>
      <c r="B7" s="6" t="inlineStr">
        <is>
          <t>$17.7B</t>
        </is>
      </c>
      <c r="C7" s="6" t="n">
        <v>79</v>
      </c>
      <c r="D7" s="6" t="inlineStr">
        <is>
          <t>Medium-High</t>
        </is>
      </c>
      <c r="E7" s="6" t="n">
        <v>55</v>
      </c>
      <c r="F7" s="6" t="inlineStr">
        <is>
          <t>Parallel design/procurement, acceleration, premium logistics and higher interface risk.</t>
        </is>
      </c>
      <c r="G7" s="6" t="inlineStr">
        <is>
          <t>Decision trade-off: cost / time / risk / confidence</t>
        </is>
      </c>
    </row>
    <row r="8">
      <c r="A8" s="6" t="inlineStr">
        <is>
          <t>Cheaper</t>
        </is>
      </c>
      <c r="B8" s="6" t="inlineStr">
        <is>
          <t>$14.0B</t>
        </is>
      </c>
      <c r="C8" s="6" t="n">
        <v>104</v>
      </c>
      <c r="D8" s="6" t="inlineStr">
        <is>
          <t>Medium-High</t>
        </is>
      </c>
      <c r="E8" s="6" t="n">
        <v>54</v>
      </c>
      <c r="F8" s="6" t="inlineStr">
        <is>
          <t>Value engineering, tighter scope and procurement competition, with schedule/quality exposure.</t>
        </is>
      </c>
      <c r="G8" s="6" t="inlineStr">
        <is>
          <t>Decision trade-off: cost / time / risk / confidence</t>
        </is>
      </c>
    </row>
    <row r="9">
      <c r="A9" s="6" t="inlineStr">
        <is>
          <t>Lower Risk</t>
        </is>
      </c>
      <c r="B9" s="6" t="inlineStr">
        <is>
          <t>$17.4B</t>
        </is>
      </c>
      <c r="C9" s="6" t="n">
        <v>106</v>
      </c>
      <c r="D9" s="6" t="inlineStr">
        <is>
          <t>Medium</t>
        </is>
      </c>
      <c r="E9" s="6" t="n">
        <v>73</v>
      </c>
      <c r="F9" s="6" t="inlineStr">
        <is>
          <t>More surveys, assurance, stage gates, contingency and schedule buffers.</t>
        </is>
      </c>
      <c r="G9" s="6" t="inlineStr">
        <is>
          <t>Decision trade-off: cost / time / risk / confidence</t>
        </is>
      </c>
    </row>
    <row r="10">
      <c r="A10" s="6" t="inlineStr">
        <is>
          <t>Premium</t>
        </is>
      </c>
      <c r="B10" s="6" t="inlineStr">
        <is>
          <t>$18.4B</t>
        </is>
      </c>
      <c r="C10" s="6" t="n">
        <v>100</v>
      </c>
      <c r="D10" s="6" t="inlineStr">
        <is>
          <t>Medium</t>
        </is>
      </c>
      <c r="E10" s="6" t="n">
        <v>76</v>
      </c>
      <c r="F10" s="6" t="inlineStr">
        <is>
          <t>Best assurance, independent review, early procurement and high-confidence governance.</t>
        </is>
      </c>
      <c r="G10" s="6" t="inlineStr">
        <is>
          <t>Decision trade-off: cost / time / risk / confidence</t>
        </is>
      </c>
    </row>
    <row r="11">
      <c r="A11" s="6" t="inlineStr">
        <is>
          <t>Investor</t>
        </is>
      </c>
      <c r="B11" s="6" t="inlineStr">
        <is>
          <t>$15.6B</t>
        </is>
      </c>
      <c r="C11" s="6" t="n">
        <v>96</v>
      </c>
      <c r="D11" s="6" t="inlineStr">
        <is>
          <t>Medium-High</t>
        </is>
      </c>
      <c r="E11" s="6" t="n">
        <v>63</v>
      </c>
      <c r="F11" s="6" t="inlineStr">
        <is>
          <t>Investment-framing case with transparent risk and commercial challenge.</t>
        </is>
      </c>
      <c r="G11" s="6" t="inlineStr">
        <is>
          <t>Decision trade-off: cost / time / risk / confidence</t>
        </is>
      </c>
    </row>
    <row r="12">
      <c r="A12" s="6" t="inlineStr">
        <is>
          <t>Survival</t>
        </is>
      </c>
      <c r="B12" s="6" t="inlineStr">
        <is>
          <t>$12.4B</t>
        </is>
      </c>
      <c r="C12" s="6" t="n">
        <v>115</v>
      </c>
      <c r="D12" s="6" t="inlineStr">
        <is>
          <t>High</t>
        </is>
      </c>
      <c r="E12" s="6" t="n">
        <v>46</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3"/>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R-002</t>
        </is>
      </c>
      <c r="B6" s="6" t="inlineStr">
        <is>
          <t>Market escalation</t>
        </is>
      </c>
      <c r="C6" s="6" t="inlineStr">
        <is>
          <t>Commercial</t>
        </is>
      </c>
      <c r="D6" s="9" t="n">
        <v>45</v>
      </c>
      <c r="E6" s="6" t="inlineStr">
        <is>
          <t>Supplier market tightness, inflation, FX and long procurement window</t>
        </is>
      </c>
      <c r="F6" s="6" t="inlineStr">
        <is>
          <t>Market escalation occurs or materialises during delivery.</t>
        </is>
      </c>
      <c r="G6" s="6" t="inlineStr">
        <is>
          <t>P50 cost becomes understated; commercial approvals or procurement strategy may need reset</t>
        </is>
      </c>
      <c r="H6" s="6" t="inlineStr">
        <is>
          <t>Commercial Lead</t>
        </is>
      </c>
      <c r="I6" s="6" t="inlineStr">
        <is>
          <t>Early procurement, index-linked allowances, market testing, FX strategy</t>
        </is>
      </c>
      <c r="J6" s="6" t="inlineStr">
        <is>
          <t>Index exceeds allowance by 3%</t>
        </is>
      </c>
      <c r="K6" s="6" t="inlineStr">
        <is>
          <t>Low</t>
        </is>
      </c>
      <c r="L6" s="6" t="inlineStr">
        <is>
          <t>A1500</t>
        </is>
      </c>
      <c r="M6" s="6" t="inlineStr">
        <is>
          <t>Procurement strategy and tender packaging</t>
        </is>
      </c>
      <c r="N6" s="6" t="inlineStr">
        <is>
          <t>01.05</t>
        </is>
      </c>
      <c r="O6" s="6" t="inlineStr">
        <is>
          <t>Automation, MES and digital validation</t>
        </is>
      </c>
      <c r="P6" s="8" t="n">
        <v>0.341</v>
      </c>
      <c r="Q6" s="9" t="n">
        <v>0.1</v>
      </c>
    </row>
    <row r="7">
      <c r="A7" s="6" t="inlineStr">
        <is>
          <t>R-004</t>
        </is>
      </c>
      <c r="B7" s="6" t="inlineStr">
        <is>
          <t>Design maturity gap</t>
        </is>
      </c>
      <c r="C7" s="6" t="inlineStr">
        <is>
          <t>Technical</t>
        </is>
      </c>
      <c r="D7" s="9" t="n">
        <v>38</v>
      </c>
      <c r="E7" s="6" t="inlineStr">
        <is>
          <t>Estimate is based on immature design, incomplete surveys or unresolved interfaces</t>
        </is>
      </c>
      <c r="F7" s="6" t="inlineStr">
        <is>
          <t>Design maturity gap occurs or materialises during delivery.</t>
        </is>
      </c>
      <c r="G7" s="6" t="inlineStr">
        <is>
          <t>Cost growth, quantity movement, rework and schedule resequencing</t>
        </is>
      </c>
      <c r="H7" s="6" t="inlineStr">
        <is>
          <t>Design Manager</t>
        </is>
      </c>
      <c r="I7" s="6" t="inlineStr">
        <is>
          <t>Design maturity gates, independent review, assumption register</t>
        </is>
      </c>
      <c r="J7" s="6" t="inlineStr">
        <is>
          <t>Design deliverables miss maturity gate</t>
        </is>
      </c>
      <c r="K7" s="6" t="inlineStr">
        <is>
          <t>Low</t>
        </is>
      </c>
      <c r="L7" s="6" t="inlineStr">
        <is>
          <t>A1700</t>
        </is>
      </c>
      <c r="M7" s="6" t="inlineStr">
        <is>
          <t>Long-lead procurement</t>
        </is>
      </c>
      <c r="N7" s="6" t="inlineStr">
        <is>
          <t>02.01</t>
        </is>
      </c>
      <c r="O7" s="6" t="inlineStr">
        <is>
          <t>commissioning validation / qualification</t>
        </is>
      </c>
      <c r="P7" s="8" t="n">
        <v>0.259</v>
      </c>
      <c r="Q7" s="9" t="n">
        <v>17.1</v>
      </c>
    </row>
    <row r="8">
      <c r="A8" s="6" t="inlineStr">
        <is>
          <t>R-001</t>
        </is>
      </c>
      <c r="B8" s="6" t="inlineStr">
        <is>
          <t>Scope growth</t>
        </is>
      </c>
      <c r="C8" s="6" t="inlineStr">
        <is>
          <t>Scope</t>
        </is>
      </c>
      <c r="D8" s="9" t="n">
        <v>42</v>
      </c>
      <c r="E8" s="6" t="inlineStr">
        <is>
          <t>Ambiguous requirements, immature scope freeze and late stakeholder changes</t>
        </is>
      </c>
      <c r="F8" s="6" t="inlineStr">
        <is>
          <t>Scope growth occurs or materialises during delivery.</t>
        </is>
      </c>
      <c r="G8" s="6" t="inlineStr">
        <is>
          <t>Additional quantities, redesign, rework, procurement churn and board contingency drawdown</t>
        </is>
      </c>
      <c r="H8" s="6" t="inlineStr">
        <is>
          <t>Project Director</t>
        </is>
      </c>
      <c r="I8" s="6" t="inlineStr">
        <is>
          <t>Freeze scope baseline, change board, value gates, client decision log</t>
        </is>
      </c>
      <c r="J8" s="6" t="inlineStr">
        <is>
          <t>Scope change rate exceeds 2% of package value</t>
        </is>
      </c>
      <c r="K8" s="6" t="inlineStr">
        <is>
          <t>Low</t>
        </is>
      </c>
      <c r="L8" s="6" t="inlineStr">
        <is>
          <t>A1400</t>
        </is>
      </c>
      <c r="M8" s="6" t="inlineStr">
        <is>
          <t>Planning, regulatory and stakeholder approvals</t>
        </is>
      </c>
      <c r="N8" s="6" t="inlineStr">
        <is>
          <t>01.04</t>
        </is>
      </c>
      <c r="O8" s="6" t="inlineStr">
        <is>
          <t>Clean utilities</t>
        </is>
      </c>
      <c r="P8" s="8" t="n">
        <v>0.255</v>
      </c>
      <c r="Q8" s="9" t="n">
        <v>18.9</v>
      </c>
    </row>
    <row r="9">
      <c r="A9" s="6" t="inlineStr">
        <is>
          <t>R-006</t>
        </is>
      </c>
      <c r="B9" s="6" t="inlineStr">
        <is>
          <t>Productivity underperformance</t>
        </is>
      </c>
      <c r="C9" s="6" t="inlineStr">
        <is>
          <t>Delivery</t>
        </is>
      </c>
      <c r="D9" s="9" t="n">
        <v>35</v>
      </c>
      <c r="E9" s="6" t="inlineStr">
        <is>
          <t>Access constraints, poor sequencing, labour scarcity or learning curve</t>
        </is>
      </c>
      <c r="F9" s="6" t="inlineStr">
        <is>
          <t>Productivity underperformance occurs or materialises during delivery.</t>
        </is>
      </c>
      <c r="G9" s="6" t="inlineStr">
        <is>
          <t>Extended duration, increased preliminaries and loss of float</t>
        </is>
      </c>
      <c r="H9" s="6" t="inlineStr">
        <is>
          <t>Delivery Lead</t>
        </is>
      </c>
      <c r="I9" s="6" t="inlineStr">
        <is>
          <t>Package productivity controls, daily planning, earned value cadence</t>
        </is>
      </c>
      <c r="J9" s="6" t="inlineStr">
        <is>
          <t>SPI/CPI deteriorates for two reporting periods</t>
        </is>
      </c>
      <c r="K9" s="6" t="inlineStr">
        <is>
          <t>Low</t>
        </is>
      </c>
      <c r="L9" s="6" t="inlineStr">
        <is>
          <t>A1900</t>
        </is>
      </c>
      <c r="M9" s="6" t="inlineStr">
        <is>
          <t>Main construction / fabrication / assembly</t>
        </is>
      </c>
      <c r="N9" s="6" t="inlineStr">
        <is>
          <t>02.03</t>
        </is>
      </c>
      <c r="O9" s="6" t="inlineStr">
        <is>
          <t>Programme management and operational readiness</t>
        </is>
      </c>
      <c r="P9" s="8" t="n">
        <v>0.212</v>
      </c>
      <c r="Q9" s="9" t="n">
        <v>17.5</v>
      </c>
    </row>
    <row r="10">
      <c r="A10" s="6" t="inlineStr">
        <is>
          <t>R-005</t>
        </is>
      </c>
      <c r="B10" s="6" t="inlineStr">
        <is>
          <t>Supply chain delay</t>
        </is>
      </c>
      <c r="C10" s="6" t="inlineStr">
        <is>
          <t>Procurement</t>
        </is>
      </c>
      <c r="D10" s="9" t="n">
        <v>40</v>
      </c>
      <c r="E10" s="6" t="inlineStr">
        <is>
          <t>Long-lead equipment, constrained suppliers or late procurement release</t>
        </is>
      </c>
      <c r="F10" s="6" t="inlineStr">
        <is>
          <t>Supply chain delay occurs or materialises during delivery.</t>
        </is>
      </c>
      <c r="G10" s="6" t="inlineStr">
        <is>
          <t>Delayed installation, critical path movement and acceleration cost</t>
        </is>
      </c>
      <c r="H10" s="6" t="inlineStr">
        <is>
          <t>Procurement Lead</t>
        </is>
      </c>
      <c r="I10" s="6" t="inlineStr">
        <is>
          <t>Alternate suppliers, early orders, expediting, framework options</t>
        </is>
      </c>
      <c r="J10" s="6" t="inlineStr">
        <is>
          <t>Supplier promise date slips</t>
        </is>
      </c>
      <c r="K10" s="6" t="inlineStr">
        <is>
          <t>Low</t>
        </is>
      </c>
      <c r="L10" s="6" t="inlineStr">
        <is>
          <t>A1800</t>
        </is>
      </c>
      <c r="M10" s="6" t="inlineStr">
        <is>
          <t>Site / launch integration readiness</t>
        </is>
      </c>
      <c r="N10" s="6" t="inlineStr">
        <is>
          <t>02.02</t>
        </is>
      </c>
      <c r="O10" s="6" t="inlineStr">
        <is>
          <t>Regulatory readiness and quality systems</t>
        </is>
      </c>
      <c r="P10" s="8" t="n">
        <v>0.212</v>
      </c>
      <c r="Q10" s="9" t="n">
        <v>16</v>
      </c>
    </row>
    <row r="11">
      <c r="A11" s="6" t="inlineStr">
        <is>
          <t>R-008</t>
        </is>
      </c>
      <c r="B11" s="6" t="inlineStr">
        <is>
          <t>Interface misalignment</t>
        </is>
      </c>
      <c r="C11" s="6" t="inlineStr">
        <is>
          <t>Integration</t>
        </is>
      </c>
      <c r="D11" s="9" t="n">
        <v>34</v>
      </c>
      <c r="E11" s="6" t="inlineStr">
        <is>
          <t>Multiple contractors, unclear interface ownership or late design coordination</t>
        </is>
      </c>
      <c r="F11" s="6" t="inlineStr">
        <is>
          <t>Interface misalignment occurs or materialises during delivery.</t>
        </is>
      </c>
      <c r="G11" s="6" t="inlineStr">
        <is>
          <t>Rework, claims, delay and fragmented accountability</t>
        </is>
      </c>
      <c r="H11" s="6" t="inlineStr">
        <is>
          <t>Integration Manager</t>
        </is>
      </c>
      <c r="I11" s="6" t="inlineStr">
        <is>
          <t>Interface control documents, weekly interface board, accountable owners</t>
        </is>
      </c>
      <c r="J11" s="6" t="inlineStr">
        <is>
          <t>Interface actions overdue</t>
        </is>
      </c>
      <c r="K11" s="6" t="inlineStr">
        <is>
          <t>Low</t>
        </is>
      </c>
      <c r="L11" s="6" t="inlineStr">
        <is>
          <t>A2100</t>
        </is>
      </c>
      <c r="M11" s="6" t="inlineStr">
        <is>
          <t>Commissioning, operations readiness and closeout</t>
        </is>
      </c>
      <c r="N11" s="6" t="inlineStr">
        <is>
          <t>03.01</t>
        </is>
      </c>
      <c r="O11" s="6" t="inlineStr">
        <is>
          <t>Risk reserve</t>
        </is>
      </c>
      <c r="P11" s="8" t="n">
        <v>0.18</v>
      </c>
      <c r="Q11" s="9" t="n">
        <v>11.9</v>
      </c>
    </row>
    <row r="12">
      <c r="A12" s="6" t="inlineStr">
        <is>
          <t>R-007</t>
        </is>
      </c>
      <c r="B12" s="6" t="inlineStr">
        <is>
          <t>Commissioning delay</t>
        </is>
      </c>
      <c r="C12" s="6" t="inlineStr">
        <is>
          <t>Handover</t>
        </is>
      </c>
      <c r="D12" s="9" t="n">
        <v>32</v>
      </c>
      <c r="E12" s="6" t="inlineStr">
        <is>
          <t>Incomplete readiness, software integration issues or defects during testing</t>
        </is>
      </c>
      <c r="F12" s="6" t="inlineStr">
        <is>
          <t>Commissioning delay occurs or materialises during delivery.</t>
        </is>
      </c>
      <c r="G12" s="6" t="inlineStr">
        <is>
          <t>Delayed handover, operational readiness slippage and liquidated damages exposure</t>
        </is>
      </c>
      <c r="H12" s="6" t="inlineStr">
        <is>
          <t>Commissioning Lead</t>
        </is>
      </c>
      <c r="I12" s="6" t="inlineStr">
        <is>
          <t>Commissioning readiness plan, early test packs, digital systems integration</t>
        </is>
      </c>
      <c r="J12" s="6" t="inlineStr">
        <is>
          <t>Test failures trend upward</t>
        </is>
      </c>
      <c r="K12" s="6" t="inlineStr">
        <is>
          <t>Low</t>
        </is>
      </c>
      <c r="L12" s="6" t="inlineStr">
        <is>
          <t>A2000</t>
        </is>
      </c>
      <c r="M12" s="6" t="inlineStr">
        <is>
          <t>Systems integration and testing</t>
        </is>
      </c>
      <c r="N12" s="6" t="inlineStr">
        <is>
          <t>03.01</t>
        </is>
      </c>
      <c r="O12" s="6" t="inlineStr">
        <is>
          <t>Risk reserve</t>
        </is>
      </c>
      <c r="P12" s="8" t="n">
        <v>0.145</v>
      </c>
      <c r="Q12" s="9" t="n">
        <v>11.2</v>
      </c>
    </row>
    <row r="13">
      <c r="A13" s="6" t="inlineStr">
        <is>
          <t>R-003</t>
        </is>
      </c>
      <c r="B13" s="6" t="inlineStr">
        <is>
          <t>Permits / approvals delay</t>
        </is>
      </c>
      <c r="C13" s="6" t="inlineStr">
        <is>
          <t>Regulatory</t>
        </is>
      </c>
      <c r="D13" s="9" t="n">
        <v>35</v>
      </c>
      <c r="E13" s="6" t="inlineStr">
        <is>
          <t>Authority process, stakeholder objections or incomplete submissions</t>
        </is>
      </c>
      <c r="F13" s="6" t="inlineStr">
        <is>
          <t>Permits / approvals delay occurs or materialises during delivery.</t>
        </is>
      </c>
      <c r="G13" s="6" t="inlineStr">
        <is>
          <t>Critical path delay, extended preliminaries and potential redesign conditions</t>
        </is>
      </c>
      <c r="H13" s="6" t="inlineStr">
        <is>
          <t>Consents Lead</t>
        </is>
      </c>
      <c r="I13" s="6" t="inlineStr">
        <is>
          <t>Authority plan, consent tracker, early submissions, stakeholder map</t>
        </is>
      </c>
      <c r="J13" s="6" t="inlineStr">
        <is>
          <t>Consent milestone slips by 30 days</t>
        </is>
      </c>
      <c r="K13" s="6" t="inlineStr">
        <is>
          <t>Low</t>
        </is>
      </c>
      <c r="L13" s="6" t="inlineStr">
        <is>
          <t>A1600</t>
        </is>
      </c>
      <c r="M13" s="6" t="inlineStr">
        <is>
          <t>Detailed design / IFC development</t>
        </is>
      </c>
      <c r="N13" s="6" t="inlineStr">
        <is>
          <t>01.06</t>
        </is>
      </c>
      <c r="O13" s="6" t="inlineStr">
        <is>
          <t>Cold-chain and automated logistics</t>
        </is>
      </c>
      <c r="P13" s="8" t="n">
        <v>0.106</v>
      </c>
      <c r="Q13" s="9" t="n">
        <v>24.5</v>
      </c>
    </row>
    <row r="14">
      <c r="A14" s="6" t="inlineStr">
        <is>
          <t>R-013</t>
        </is>
      </c>
      <c r="B14" s="6" t="inlineStr">
        <is>
          <t>Weather / environmental disruption</t>
        </is>
      </c>
      <c r="C14" s="6" t="inlineStr">
        <is>
          <t>Delivery</t>
        </is>
      </c>
      <c r="D14" s="9" t="n">
        <v>46</v>
      </c>
      <c r="E14" s="6" t="inlineStr">
        <is>
          <t>Extreme weather, environmental windows or site constraints not fully allowed</t>
        </is>
      </c>
      <c r="F14" s="6" t="inlineStr">
        <is>
          <t>Workface access or productivity is disrupted</t>
        </is>
      </c>
      <c r="G14" s="6" t="inlineStr">
        <is>
          <t>Delay, access cost and resequencing</t>
        </is>
      </c>
      <c r="H14" s="6" t="inlineStr">
        <is>
          <t>Construction Manager</t>
        </is>
      </c>
      <c r="I14" s="6" t="inlineStr">
        <is>
          <t>Weather calendars, contingency workfronts, protection strategy</t>
        </is>
      </c>
      <c r="J14" s="6" t="inlineStr">
        <is>
          <t>Weather downtime exceeds allowance</t>
        </is>
      </c>
      <c r="K14" s="6" t="inlineStr">
        <is>
          <t>Red</t>
        </is>
      </c>
      <c r="L14" s="6" t="inlineStr">
        <is>
          <t>A1900</t>
        </is>
      </c>
      <c r="M14" s="6" t="inlineStr">
        <is>
          <t>Linked schedule activity</t>
        </is>
      </c>
      <c r="N14" s="6" t="inlineStr">
        <is>
          <t>01.03</t>
        </is>
      </c>
      <c r="O14" s="6" t="inlineStr">
        <is>
          <t>Linked cost package</t>
        </is>
      </c>
      <c r="P14" s="8" t="n">
        <v>0.063</v>
      </c>
      <c r="Q14" s="9" t="n">
        <v>14.8</v>
      </c>
    </row>
    <row r="15">
      <c r="A15" s="6" t="inlineStr">
        <is>
          <t>R-009</t>
        </is>
      </c>
      <c r="B15" s="6" t="inlineStr">
        <is>
          <t>Commercial claims escalation</t>
        </is>
      </c>
      <c r="C15" s="6" t="inlineStr">
        <is>
          <t>Delivery</t>
        </is>
      </c>
      <c r="D15" s="9" t="n">
        <v>30</v>
      </c>
      <c r="E15" s="6" t="inlineStr">
        <is>
          <t>Contract ambiguity, change volume and interface disputes</t>
        </is>
      </c>
      <c r="F15" s="6" t="inlineStr">
        <is>
          <t>Claims submitted above allowance</t>
        </is>
      </c>
      <c r="G15" s="6" t="inlineStr">
        <is>
          <t>Commercial pressure, management distraction and increased outturn cost</t>
        </is>
      </c>
      <c r="H15" s="6" t="inlineStr">
        <is>
          <t>Commercial Lead</t>
        </is>
      </c>
      <c r="I15" s="6" t="inlineStr">
        <is>
          <t>Tight change control, entitlement reviews, dispute avoidance board</t>
        </is>
      </c>
      <c r="J15" s="6" t="inlineStr">
        <is>
          <t>Claim volume exceeds baseline</t>
        </is>
      </c>
      <c r="K15" s="6" t="inlineStr">
        <is>
          <t>Amber</t>
        </is>
      </c>
      <c r="L15" s="6" t="inlineStr">
        <is>
          <t>A1500</t>
        </is>
      </c>
      <c r="M15" s="6" t="inlineStr">
        <is>
          <t>Linked schedule activity</t>
        </is>
      </c>
      <c r="N15" s="6" t="inlineStr">
        <is>
          <t>01.10</t>
        </is>
      </c>
      <c r="O15" s="6" t="inlineStr">
        <is>
          <t>Linked cost package</t>
        </is>
      </c>
      <c r="P15" s="8" t="n">
        <v>0.05</v>
      </c>
      <c r="Q15" s="9" t="n">
        <v>13.3</v>
      </c>
    </row>
    <row r="16">
      <c r="A16" s="6" t="inlineStr">
        <is>
          <t>R-018</t>
        </is>
      </c>
      <c r="B16" s="6" t="inlineStr">
        <is>
          <t>Interface ownership gap</t>
        </is>
      </c>
      <c r="C16" s="6" t="inlineStr">
        <is>
          <t>Delivery</t>
        </is>
      </c>
      <c r="D16" s="9" t="n">
        <v>38</v>
      </c>
      <c r="E16" s="6" t="inlineStr">
        <is>
          <t>RACI and package boundaries are unclear across packages</t>
        </is>
      </c>
      <c r="F16" s="6" t="inlineStr">
        <is>
          <t>Interface issue has no accountable owner</t>
        </is>
      </c>
      <c r="G16" s="6" t="inlineStr">
        <is>
          <t>Delay, claims and fragmented accountability</t>
        </is>
      </c>
      <c r="H16" s="6" t="inlineStr">
        <is>
          <t>Integration Manager</t>
        </is>
      </c>
      <c r="I16" s="6" t="inlineStr">
        <is>
          <t>Interface control documents and owner matrix</t>
        </is>
      </c>
      <c r="J16" s="6" t="inlineStr">
        <is>
          <t>Interface actions overdue</t>
        </is>
      </c>
      <c r="K16" s="6" t="inlineStr">
        <is>
          <t>Amber</t>
        </is>
      </c>
      <c r="L16" s="6" t="inlineStr">
        <is>
          <t>A1600</t>
        </is>
      </c>
      <c r="M16" s="6" t="inlineStr">
        <is>
          <t>Linked schedule activity</t>
        </is>
      </c>
      <c r="N16" s="6" t="inlineStr">
        <is>
          <t>01.08</t>
        </is>
      </c>
      <c r="O16" s="6" t="inlineStr">
        <is>
          <t>Linked cost package</t>
        </is>
      </c>
      <c r="P16" s="8" t="n">
        <v>0.052</v>
      </c>
      <c r="Q16" s="9" t="n">
        <v>10</v>
      </c>
    </row>
    <row r="17">
      <c r="A17" s="6" t="inlineStr">
        <is>
          <t>R-012</t>
        </is>
      </c>
      <c r="B17" s="6" t="inlineStr">
        <is>
          <t>Cyber / controls integration</t>
        </is>
      </c>
      <c r="C17" s="6" t="inlineStr">
        <is>
          <t>Delivery</t>
        </is>
      </c>
      <c r="D17" s="9" t="n">
        <v>42</v>
      </c>
      <c r="E17" s="6" t="inlineStr">
        <is>
          <t>Operational technology, control systems and network interfaces immature</t>
        </is>
      </c>
      <c r="F17" s="6" t="inlineStr">
        <is>
          <t>Controls integration fails testing</t>
        </is>
      </c>
      <c r="G17" s="6" t="inlineStr">
        <is>
          <t>Commissioning delay, resilience issue and operational risk</t>
        </is>
      </c>
      <c r="H17" s="6" t="inlineStr">
        <is>
          <t>Systems Lead</t>
        </is>
      </c>
      <c r="I17" s="6" t="inlineStr">
        <is>
          <t>Early cyber review, FAT/SAT plan, integration lab</t>
        </is>
      </c>
      <c r="J17" s="6" t="inlineStr">
        <is>
          <t>Controls defect trend increases</t>
        </is>
      </c>
      <c r="K17" s="6" t="inlineStr">
        <is>
          <t>Amber</t>
        </is>
      </c>
      <c r="L17" s="6" t="inlineStr">
        <is>
          <t>A1800</t>
        </is>
      </c>
      <c r="M17" s="6" t="inlineStr">
        <is>
          <t>Linked schedule activity</t>
        </is>
      </c>
      <c r="N17" s="6" t="inlineStr">
        <is>
          <t>01.02</t>
        </is>
      </c>
      <c r="O17" s="6" t="inlineStr">
        <is>
          <t>Linked cost package</t>
        </is>
      </c>
      <c r="P17" s="8" t="n">
        <v>0.045</v>
      </c>
      <c r="Q17" s="9" t="n">
        <v>11</v>
      </c>
    </row>
    <row r="18">
      <c r="A18" s="6" t="inlineStr">
        <is>
          <t>R-017</t>
        </is>
      </c>
      <c r="B18" s="6" t="inlineStr">
        <is>
          <t>Data / estimate basis weakness</t>
        </is>
      </c>
      <c r="C18" s="6" t="inlineStr">
        <is>
          <t>Delivery</t>
        </is>
      </c>
      <c r="D18" s="9" t="n">
        <v>34</v>
      </c>
      <c r="E18" s="6" t="inlineStr">
        <is>
          <t>Estimate source data, quantities or benchmarks are incomplete</t>
        </is>
      </c>
      <c r="F18" s="6" t="inlineStr">
        <is>
          <t>Baseline cannot be defended under challenge</t>
        </is>
      </c>
      <c r="G18" s="6" t="inlineStr">
        <is>
          <t>Confidence reduction and rework of cost plan</t>
        </is>
      </c>
      <c r="H18" s="6" t="inlineStr">
        <is>
          <t>Cost Lead</t>
        </is>
      </c>
      <c r="I18" s="6" t="inlineStr">
        <is>
          <t>Assumption register, benchmark evidence, quantity validation</t>
        </is>
      </c>
      <c r="J18" s="6" t="inlineStr">
        <is>
          <t>Unknown allowance exceeds threshold</t>
        </is>
      </c>
      <c r="K18" s="6" t="inlineStr">
        <is>
          <t>Amber</t>
        </is>
      </c>
      <c r="L18" s="6" t="inlineStr">
        <is>
          <t>A1500</t>
        </is>
      </c>
      <c r="M18" s="6" t="inlineStr">
        <is>
          <t>Linked schedule activity</t>
        </is>
      </c>
      <c r="N18" s="6" t="inlineStr">
        <is>
          <t>01.07</t>
        </is>
      </c>
      <c r="O18" s="6" t="inlineStr">
        <is>
          <t>Linked cost package</t>
        </is>
      </c>
      <c r="P18" s="8" t="n">
        <v>0.036</v>
      </c>
      <c r="Q18" s="9" t="n">
        <v>19.1</v>
      </c>
    </row>
    <row r="19">
      <c r="A19" s="6" t="inlineStr">
        <is>
          <t>R-011</t>
        </is>
      </c>
      <c r="B19" s="6" t="inlineStr">
        <is>
          <t>Quality failure / rework</t>
        </is>
      </c>
      <c r="C19" s="6" t="inlineStr">
        <is>
          <t>Delivery</t>
        </is>
      </c>
      <c r="D19" s="9" t="n">
        <v>38</v>
      </c>
      <c r="E19" s="6" t="inlineStr">
        <is>
          <t>Installation quality, vendor QA or inspection regime below need</t>
        </is>
      </c>
      <c r="F19" s="6" t="inlineStr">
        <is>
          <t>Inspection failure triggers rework</t>
        </is>
      </c>
      <c r="G19" s="6" t="inlineStr">
        <is>
          <t>Rework cost, schedule delay and confidence loss</t>
        </is>
      </c>
      <c r="H19" s="6" t="inlineStr">
        <is>
          <t>Quality Manager</t>
        </is>
      </c>
      <c r="I19" s="6" t="inlineStr">
        <is>
          <t>ITPs, hold points, vendor QA, right-first-time reviews</t>
        </is>
      </c>
      <c r="J19" s="6" t="inlineStr">
        <is>
          <t>NCR trend increases</t>
        </is>
      </c>
      <c r="K19" s="6" t="inlineStr">
        <is>
          <t>Amber</t>
        </is>
      </c>
      <c r="L19" s="6" t="inlineStr">
        <is>
          <t>A1700</t>
        </is>
      </c>
      <c r="M19" s="6" t="inlineStr">
        <is>
          <t>Linked schedule activity</t>
        </is>
      </c>
      <c r="N19" s="6" t="inlineStr">
        <is>
          <t>01.01</t>
        </is>
      </c>
      <c r="O19" s="6" t="inlineStr">
        <is>
          <t>Linked cost package</t>
        </is>
      </c>
      <c r="P19" s="8" t="n">
        <v>0.029</v>
      </c>
      <c r="Q19" s="9" t="n">
        <v>21.4</v>
      </c>
    </row>
    <row r="20">
      <c r="A20" s="6" t="inlineStr">
        <is>
          <t>R-014</t>
        </is>
      </c>
      <c r="B20" s="6" t="inlineStr">
        <is>
          <t>Stakeholder change</t>
        </is>
      </c>
      <c r="C20" s="6" t="inlineStr">
        <is>
          <t>Delivery</t>
        </is>
      </c>
      <c r="D20" s="9" t="n">
        <v>22</v>
      </c>
      <c r="E20" s="6" t="inlineStr">
        <is>
          <t>Sponsor, operator or authority requirements evolve late</t>
        </is>
      </c>
      <c r="F20" s="6" t="inlineStr">
        <is>
          <t>Requirements change after baseline freeze</t>
        </is>
      </c>
      <c r="G20" s="6" t="inlineStr">
        <is>
          <t>Scope growth, redesign and approval delays</t>
        </is>
      </c>
      <c r="H20" s="6" t="inlineStr">
        <is>
          <t>Project Director</t>
        </is>
      </c>
      <c r="I20" s="6" t="inlineStr">
        <is>
          <t>Decision log, change board and stakeholder gates</t>
        </is>
      </c>
      <c r="J20" s="6" t="inlineStr">
        <is>
          <t>Late decision count increases</t>
        </is>
      </c>
      <c r="K20" s="6" t="inlineStr">
        <is>
          <t>Green</t>
        </is>
      </c>
      <c r="L20" s="6" t="inlineStr">
        <is>
          <t>A2000</t>
        </is>
      </c>
      <c r="M20" s="6" t="inlineStr">
        <is>
          <t>Linked schedule activity</t>
        </is>
      </c>
      <c r="N20" s="6" t="inlineStr">
        <is>
          <t>01.04</t>
        </is>
      </c>
      <c r="O20" s="6" t="inlineStr">
        <is>
          <t>Linked cost package</t>
        </is>
      </c>
      <c r="P20" s="8" t="n">
        <v>0.037</v>
      </c>
      <c r="Q20" s="9" t="n">
        <v>8.4</v>
      </c>
    </row>
    <row r="21">
      <c r="A21" s="6" t="inlineStr">
        <is>
          <t>R-016</t>
        </is>
      </c>
      <c r="B21" s="6" t="inlineStr">
        <is>
          <t>Commissioning readiness gap</t>
        </is>
      </c>
      <c r="C21" s="6" t="inlineStr">
        <is>
          <t>Delivery</t>
        </is>
      </c>
      <c r="D21" s="9" t="n">
        <v>30</v>
      </c>
      <c r="E21" s="6" t="inlineStr">
        <is>
          <t>Incomplete test packs, operational readiness or training gaps</t>
        </is>
      </c>
      <c r="F21" s="6" t="inlineStr">
        <is>
          <t>Commissioning starts without readiness</t>
        </is>
      </c>
      <c r="G21" s="6" t="inlineStr">
        <is>
          <t>Repeated tests, handover delay and operational risk</t>
        </is>
      </c>
      <c r="H21" s="6" t="inlineStr">
        <is>
          <t>Commissioning Lead</t>
        </is>
      </c>
      <c r="I21" s="6" t="inlineStr">
        <is>
          <t>Readiness dashboard, integrated test plan, early ORAT</t>
        </is>
      </c>
      <c r="J21" s="6" t="inlineStr">
        <is>
          <t>Readiness score below threshold</t>
        </is>
      </c>
      <c r="K21" s="6" t="inlineStr">
        <is>
          <t>Amber</t>
        </is>
      </c>
      <c r="L21" s="6" t="inlineStr">
        <is>
          <t>A1400</t>
        </is>
      </c>
      <c r="M21" s="6" t="inlineStr">
        <is>
          <t>Linked schedule activity</t>
        </is>
      </c>
      <c r="N21" s="6" t="inlineStr">
        <is>
          <t>01.06</t>
        </is>
      </c>
      <c r="O21" s="6" t="inlineStr">
        <is>
          <t>Linked cost package</t>
        </is>
      </c>
      <c r="P21" s="8" t="n">
        <v>0.023</v>
      </c>
      <c r="Q21" s="9" t="n">
        <v>15.1</v>
      </c>
    </row>
    <row r="22">
      <c r="A22" s="6" t="inlineStr">
        <is>
          <t>R-010</t>
        </is>
      </c>
      <c r="B22" s="6" t="inlineStr">
        <is>
          <t>Resource availability</t>
        </is>
      </c>
      <c r="C22" s="6" t="inlineStr">
        <is>
          <t>Delivery</t>
        </is>
      </c>
      <c r="D22" s="9" t="n">
        <v>34</v>
      </c>
      <c r="E22" s="6" t="inlineStr">
        <is>
          <t>Labour, specialist supervisors or commissioning teams constrained</t>
        </is>
      </c>
      <c r="F22" s="6" t="inlineStr">
        <is>
          <t>Required resources are unavailable when planned</t>
        </is>
      </c>
      <c r="G22" s="6" t="inlineStr">
        <is>
          <t>Productivity loss, resequencing and higher preliminaries</t>
        </is>
      </c>
      <c r="H22" s="6" t="inlineStr">
        <is>
          <t>Delivery Lead</t>
        </is>
      </c>
      <c r="I22" s="6" t="inlineStr">
        <is>
          <t>Resource loading, framework call-offs, labour strategy</t>
        </is>
      </c>
      <c r="J22" s="6" t="inlineStr">
        <is>
          <t>Resource histogram red flag</t>
        </is>
      </c>
      <c r="K22" s="6" t="inlineStr">
        <is>
          <t>Amber</t>
        </is>
      </c>
      <c r="L22" s="6" t="inlineStr">
        <is>
          <t>A1600</t>
        </is>
      </c>
      <c r="M22" s="6" t="inlineStr">
        <is>
          <t>Linked schedule activity</t>
        </is>
      </c>
      <c r="N22" s="6" t="inlineStr">
        <is>
          <t>01.11</t>
        </is>
      </c>
      <c r="O22" s="6" t="inlineStr">
        <is>
          <t>Linked cost package</t>
        </is>
      </c>
      <c r="P22" s="8" t="n">
        <v>0.016</v>
      </c>
      <c r="Q22" s="9" t="n">
        <v>17.1</v>
      </c>
    </row>
    <row r="23">
      <c r="A23" s="6" t="inlineStr">
        <is>
          <t>R-015</t>
        </is>
      </c>
      <c r="B23" s="6" t="inlineStr">
        <is>
          <t>Funding / approval gate delay</t>
        </is>
      </c>
      <c r="C23" s="6" t="inlineStr">
        <is>
          <t>Delivery</t>
        </is>
      </c>
      <c r="D23" s="9" t="n">
        <v>26</v>
      </c>
      <c r="E23" s="6" t="inlineStr">
        <is>
          <t>Investment approvals or staged funding gates not aligned with procurement</t>
        </is>
      </c>
      <c r="F23" s="6" t="inlineStr">
        <is>
          <t>Capital release is delayed</t>
        </is>
      </c>
      <c r="G23" s="6" t="inlineStr">
        <is>
          <t>Procurement missed windows and schedule slippage</t>
        </is>
      </c>
      <c r="H23" s="6" t="inlineStr">
        <is>
          <t>Sponsor</t>
        </is>
      </c>
      <c r="I23" s="6" t="inlineStr">
        <is>
          <t>Approval roadmap, early board papers, contingency approvals</t>
        </is>
      </c>
      <c r="J23" s="6" t="inlineStr">
        <is>
          <t>Approval date slips</t>
        </is>
      </c>
      <c r="K23" s="6" t="inlineStr">
        <is>
          <t>Amber</t>
        </is>
      </c>
      <c r="L23" s="6" t="inlineStr">
        <is>
          <t>A2100</t>
        </is>
      </c>
      <c r="M23" s="6" t="inlineStr">
        <is>
          <t>Linked schedule activity</t>
        </is>
      </c>
      <c r="N23" s="6" t="inlineStr">
        <is>
          <t>01.05</t>
        </is>
      </c>
      <c r="O23" s="6" t="inlineStr">
        <is>
          <t>Linked cost package</t>
        </is>
      </c>
      <c r="P23" s="8" t="n">
        <v>0.015</v>
      </c>
      <c r="Q23" s="9" t="n">
        <v>11.5</v>
      </c>
    </row>
  </sheetData>
  <mergeCells count="1">
    <mergeCell ref="A1:Q1"/>
  </mergeCells>
  <conditionalFormatting sqref="K6:K23">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5.93</v>
      </c>
    </row>
    <row r="7">
      <c r="A7" s="6" t="n">
        <v>5</v>
      </c>
      <c r="B7" s="8" t="n">
        <v>6.16</v>
      </c>
    </row>
    <row r="8">
      <c r="A8" s="6" t="n">
        <v>10</v>
      </c>
      <c r="B8" s="8" t="n">
        <v>6.38</v>
      </c>
    </row>
    <row r="9">
      <c r="A9" s="6" t="n">
        <v>20</v>
      </c>
      <c r="B9" s="8" t="n">
        <v>6.76</v>
      </c>
    </row>
    <row r="10">
      <c r="A10" s="6" t="n">
        <v>30</v>
      </c>
      <c r="B10" s="8" t="n">
        <v>7.07</v>
      </c>
    </row>
    <row r="11">
      <c r="A11" s="6" t="n">
        <v>40</v>
      </c>
      <c r="B11" s="8" t="n">
        <v>7.37</v>
      </c>
    </row>
    <row r="12">
      <c r="A12" s="6" t="n">
        <v>50</v>
      </c>
      <c r="B12" s="8" t="n">
        <v>7.6</v>
      </c>
    </row>
    <row r="13">
      <c r="A13" s="6" t="n">
        <v>60</v>
      </c>
      <c r="B13" s="8" t="n">
        <v>8.06</v>
      </c>
    </row>
    <row r="14">
      <c r="A14" s="6" t="n">
        <v>70</v>
      </c>
      <c r="B14" s="8" t="n">
        <v>8.74</v>
      </c>
    </row>
    <row r="15">
      <c r="A15" s="6" t="n">
        <v>80</v>
      </c>
      <c r="B15" s="8" t="n">
        <v>9.880000000000001</v>
      </c>
    </row>
    <row r="16">
      <c r="A16" s="6" t="n">
        <v>90</v>
      </c>
      <c r="B16" s="8" t="n">
        <v>11.17</v>
      </c>
    </row>
    <row r="17">
      <c r="A17" s="6" t="n">
        <v>95</v>
      </c>
      <c r="B17" s="8" t="n">
        <v>12.01</v>
      </c>
    </row>
    <row r="18">
      <c r="A18" s="6" t="n">
        <v>99</v>
      </c>
      <c r="B18" s="8" t="n">
        <v>13.07</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61</v>
      </c>
    </row>
    <row r="7">
      <c r="A7" s="6" t="n">
        <v>5</v>
      </c>
      <c r="B7" s="9" t="n">
        <v>63</v>
      </c>
    </row>
    <row r="8">
      <c r="A8" s="6" t="n">
        <v>10</v>
      </c>
      <c r="B8" s="9" t="n">
        <v>64</v>
      </c>
    </row>
    <row r="9">
      <c r="A9" s="6" t="n">
        <v>20</v>
      </c>
      <c r="B9" s="9" t="n">
        <v>68</v>
      </c>
    </row>
    <row r="10">
      <c r="A10" s="6" t="n">
        <v>30</v>
      </c>
      <c r="B10" s="9" t="n">
        <v>70</v>
      </c>
    </row>
    <row r="11">
      <c r="A11" s="6" t="n">
        <v>40</v>
      </c>
      <c r="B11" s="9" t="n">
        <v>73</v>
      </c>
    </row>
    <row r="12">
      <c r="A12" s="6" t="n">
        <v>50</v>
      </c>
      <c r="B12" s="9" t="n">
        <v>75</v>
      </c>
    </row>
    <row r="13">
      <c r="A13" s="6" t="n">
        <v>60</v>
      </c>
      <c r="B13" s="9" t="n">
        <v>80</v>
      </c>
    </row>
    <row r="14">
      <c r="A14" s="6" t="n">
        <v>70</v>
      </c>
      <c r="B14" s="9" t="n">
        <v>86</v>
      </c>
    </row>
    <row r="15">
      <c r="A15" s="6" t="n">
        <v>80</v>
      </c>
      <c r="B15" s="9" t="n">
        <v>98</v>
      </c>
    </row>
    <row r="16">
      <c r="A16" s="6" t="n">
        <v>90</v>
      </c>
      <c r="B16" s="9" t="n">
        <v>110</v>
      </c>
    </row>
    <row r="17">
      <c r="A17" s="6" t="n">
        <v>95</v>
      </c>
      <c r="B17" s="9" t="n">
        <v>118</v>
      </c>
    </row>
    <row r="18">
      <c r="A18" s="6" t="n">
        <v>99</v>
      </c>
      <c r="B18" s="9" t="n">
        <v>129</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Market escalation</t>
        </is>
      </c>
      <c r="C6" s="6" t="inlineStr">
        <is>
          <t>01.05</t>
        </is>
      </c>
      <c r="D6" s="8" t="n">
        <v>0.341</v>
      </c>
      <c r="E6" s="6" t="inlineStr">
        <is>
          <t>Early procurement, index-linked allowances, market testing, FX strategy</t>
        </is>
      </c>
    </row>
    <row r="7">
      <c r="A7" s="6" t="n">
        <v>2</v>
      </c>
      <c r="B7" s="6" t="inlineStr">
        <is>
          <t>Design maturity gap</t>
        </is>
      </c>
      <c r="C7" s="6" t="inlineStr">
        <is>
          <t>02.01</t>
        </is>
      </c>
      <c r="D7" s="8" t="n">
        <v>0.259</v>
      </c>
      <c r="E7" s="6" t="inlineStr">
        <is>
          <t>Design maturity gates, independent review, assumption register</t>
        </is>
      </c>
    </row>
    <row r="8">
      <c r="A8" s="6" t="n">
        <v>3</v>
      </c>
      <c r="B8" s="6" t="inlineStr">
        <is>
          <t>Scope growth</t>
        </is>
      </c>
      <c r="C8" s="6" t="inlineStr">
        <is>
          <t>01.04</t>
        </is>
      </c>
      <c r="D8" s="8" t="n">
        <v>0.255</v>
      </c>
      <c r="E8" s="6" t="inlineStr">
        <is>
          <t>Freeze scope baseline, change board, value gates, client decision log</t>
        </is>
      </c>
    </row>
    <row r="9">
      <c r="A9" s="6" t="n">
        <v>4</v>
      </c>
      <c r="B9" s="6" t="inlineStr">
        <is>
          <t>Productivity underperformance</t>
        </is>
      </c>
      <c r="C9" s="6" t="inlineStr">
        <is>
          <t>02.03</t>
        </is>
      </c>
      <c r="D9" s="8" t="n">
        <v>0.212</v>
      </c>
      <c r="E9" s="6" t="inlineStr">
        <is>
          <t>Package productivity controls, daily planning, earned value cadence</t>
        </is>
      </c>
    </row>
    <row r="10">
      <c r="A10" s="6" t="n">
        <v>5</v>
      </c>
      <c r="B10" s="6" t="inlineStr">
        <is>
          <t>Supply chain delay</t>
        </is>
      </c>
      <c r="C10" s="6" t="inlineStr">
        <is>
          <t>02.02</t>
        </is>
      </c>
      <c r="D10" s="8" t="n">
        <v>0.212</v>
      </c>
      <c r="E10" s="6" t="inlineStr">
        <is>
          <t>Alternate suppliers, early orders, expediting, framework options</t>
        </is>
      </c>
    </row>
    <row r="11">
      <c r="A11" s="6" t="n">
        <v>6</v>
      </c>
      <c r="B11" s="6" t="inlineStr">
        <is>
          <t>Interface misalignment</t>
        </is>
      </c>
      <c r="C11" s="6" t="inlineStr">
        <is>
          <t>03.01</t>
        </is>
      </c>
      <c r="D11" s="8" t="n">
        <v>0.18</v>
      </c>
      <c r="E11" s="6" t="inlineStr">
        <is>
          <t>Interface control documents, weekly interface board, accountable owners</t>
        </is>
      </c>
    </row>
    <row r="12">
      <c r="A12" s="6" t="n">
        <v>7</v>
      </c>
      <c r="B12" s="6" t="inlineStr">
        <is>
          <t>Commissioning delay</t>
        </is>
      </c>
      <c r="C12" s="6" t="inlineStr">
        <is>
          <t>03.01</t>
        </is>
      </c>
      <c r="D12" s="8" t="n">
        <v>0.145</v>
      </c>
      <c r="E12" s="6" t="inlineStr">
        <is>
          <t>Commissioning readiness plan, early test packs, digital systems integration</t>
        </is>
      </c>
    </row>
    <row r="13">
      <c r="A13" s="6" t="n">
        <v>8</v>
      </c>
      <c r="B13" s="6" t="inlineStr">
        <is>
          <t>Permits / approvals delay</t>
        </is>
      </c>
      <c r="C13" s="6" t="inlineStr">
        <is>
          <t>01.06</t>
        </is>
      </c>
      <c r="D13" s="8" t="n">
        <v>0.106</v>
      </c>
      <c r="E13" s="6" t="inlineStr">
        <is>
          <t>Authority plan, consent tracker, early submissions, stakeholder map</t>
        </is>
      </c>
    </row>
    <row r="14">
      <c r="A14" s="6" t="n">
        <v>9</v>
      </c>
      <c r="B14" s="6" t="inlineStr">
        <is>
          <t>Weather / environmental disruption</t>
        </is>
      </c>
      <c r="C14" s="6" t="inlineStr">
        <is>
          <t>01.03</t>
        </is>
      </c>
      <c r="D14" s="8" t="n">
        <v>0.063</v>
      </c>
      <c r="E14" s="6" t="inlineStr">
        <is>
          <t>Weather calendars, contingency workfronts, protection strategy</t>
        </is>
      </c>
    </row>
    <row r="15">
      <c r="A15" s="6" t="n">
        <v>10</v>
      </c>
      <c r="B15" s="6" t="inlineStr">
        <is>
          <t>Interface ownership gap</t>
        </is>
      </c>
      <c r="C15" s="6" t="inlineStr">
        <is>
          <t>01.08</t>
        </is>
      </c>
      <c r="D15" s="8" t="n">
        <v>0.052</v>
      </c>
      <c r="E15" s="6" t="inlineStr">
        <is>
          <t>Interface control documents and owner matrix</t>
        </is>
      </c>
    </row>
    <row r="16">
      <c r="A16" s="6" t="n">
        <v>11</v>
      </c>
      <c r="B16" s="6" t="inlineStr">
        <is>
          <t>Commercial claims escalation</t>
        </is>
      </c>
      <c r="C16" s="6" t="inlineStr">
        <is>
          <t>01.10</t>
        </is>
      </c>
      <c r="D16" s="8" t="n">
        <v>0.05</v>
      </c>
      <c r="E16" s="6" t="inlineStr">
        <is>
          <t>Tight change control, entitlement reviews, dispute avoidance board</t>
        </is>
      </c>
    </row>
    <row r="17">
      <c r="A17" s="6" t="n">
        <v>12</v>
      </c>
      <c r="B17" s="6" t="inlineStr">
        <is>
          <t>Cyber / controls integration</t>
        </is>
      </c>
      <c r="C17" s="6" t="inlineStr">
        <is>
          <t>01.02</t>
        </is>
      </c>
      <c r="D17" s="8" t="n">
        <v>0.045</v>
      </c>
      <c r="E17" s="6" t="inlineStr">
        <is>
          <t>Early cyber review, FAT/SAT plan, integration lab</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Permits / approvals delay</t>
        </is>
      </c>
      <c r="C6" s="6" t="inlineStr">
        <is>
          <t>A1600</t>
        </is>
      </c>
      <c r="D6" s="9" t="n">
        <v>24.5</v>
      </c>
      <c r="E6" s="6" t="inlineStr">
        <is>
          <t>Authority plan, consent tracker, early submissions, stakeholder map</t>
        </is>
      </c>
    </row>
    <row r="7">
      <c r="A7" s="6" t="n">
        <v>2</v>
      </c>
      <c r="B7" s="6" t="inlineStr">
        <is>
          <t>Quality failure / rework</t>
        </is>
      </c>
      <c r="C7" s="6" t="inlineStr">
        <is>
          <t>A1700</t>
        </is>
      </c>
      <c r="D7" s="9" t="n">
        <v>21.4</v>
      </c>
      <c r="E7" s="6" t="inlineStr">
        <is>
          <t>ITPs, hold points, vendor QA, right-first-time reviews</t>
        </is>
      </c>
    </row>
    <row r="8">
      <c r="A8" s="6" t="n">
        <v>3</v>
      </c>
      <c r="B8" s="6" t="inlineStr">
        <is>
          <t>Data / estimate basis weakness</t>
        </is>
      </c>
      <c r="C8" s="6" t="inlineStr">
        <is>
          <t>A1500</t>
        </is>
      </c>
      <c r="D8" s="9" t="n">
        <v>19.1</v>
      </c>
      <c r="E8" s="6" t="inlineStr">
        <is>
          <t>Assumption register, benchmark evidence, quantity validation</t>
        </is>
      </c>
    </row>
    <row r="9">
      <c r="A9" s="6" t="n">
        <v>4</v>
      </c>
      <c r="B9" s="6" t="inlineStr">
        <is>
          <t>Scope growth</t>
        </is>
      </c>
      <c r="C9" s="6" t="inlineStr">
        <is>
          <t>A1400</t>
        </is>
      </c>
      <c r="D9" s="9" t="n">
        <v>18.9</v>
      </c>
      <c r="E9" s="6" t="inlineStr">
        <is>
          <t>Freeze scope baseline, change board, value gates, client decision log</t>
        </is>
      </c>
    </row>
    <row r="10">
      <c r="A10" s="6" t="n">
        <v>5</v>
      </c>
      <c r="B10" s="6" t="inlineStr">
        <is>
          <t>Productivity underperformance</t>
        </is>
      </c>
      <c r="C10" s="6" t="inlineStr">
        <is>
          <t>A1900</t>
        </is>
      </c>
      <c r="D10" s="9" t="n">
        <v>17.5</v>
      </c>
      <c r="E10" s="6" t="inlineStr">
        <is>
          <t>Package productivity controls, daily planning, earned value cadence</t>
        </is>
      </c>
    </row>
    <row r="11">
      <c r="A11" s="6" t="n">
        <v>6</v>
      </c>
      <c r="B11" s="6" t="inlineStr">
        <is>
          <t>Design maturity gap</t>
        </is>
      </c>
      <c r="C11" s="6" t="inlineStr">
        <is>
          <t>A1700</t>
        </is>
      </c>
      <c r="D11" s="9" t="n">
        <v>17.1</v>
      </c>
      <c r="E11" s="6" t="inlineStr">
        <is>
          <t>Design maturity gates, independent review, assumption register</t>
        </is>
      </c>
    </row>
    <row r="12">
      <c r="A12" s="6" t="n">
        <v>7</v>
      </c>
      <c r="B12" s="6" t="inlineStr">
        <is>
          <t>Resource availability</t>
        </is>
      </c>
      <c r="C12" s="6" t="inlineStr">
        <is>
          <t>A1600</t>
        </is>
      </c>
      <c r="D12" s="9" t="n">
        <v>17.1</v>
      </c>
      <c r="E12" s="6" t="inlineStr">
        <is>
          <t>Resource loading, framework call-offs, labour strategy</t>
        </is>
      </c>
    </row>
    <row r="13">
      <c r="A13" s="6" t="n">
        <v>8</v>
      </c>
      <c r="B13" s="6" t="inlineStr">
        <is>
          <t>Supply chain delay</t>
        </is>
      </c>
      <c r="C13" s="6" t="inlineStr">
        <is>
          <t>A1800</t>
        </is>
      </c>
      <c r="D13" s="9" t="n">
        <v>16</v>
      </c>
      <c r="E13" s="6" t="inlineStr">
        <is>
          <t>Alternate suppliers, early orders, expediting, framework options</t>
        </is>
      </c>
    </row>
    <row r="14">
      <c r="A14" s="6" t="n">
        <v>9</v>
      </c>
      <c r="B14" s="6" t="inlineStr">
        <is>
          <t>Commissioning readiness gap</t>
        </is>
      </c>
      <c r="C14" s="6" t="inlineStr">
        <is>
          <t>A1400</t>
        </is>
      </c>
      <c r="D14" s="9" t="n">
        <v>15.1</v>
      </c>
      <c r="E14" s="6" t="inlineStr">
        <is>
          <t>Readiness dashboard, integrated test plan, early ORAT</t>
        </is>
      </c>
    </row>
    <row r="15">
      <c r="A15" s="6" t="n">
        <v>10</v>
      </c>
      <c r="B15" s="6" t="inlineStr">
        <is>
          <t>Weather / environmental disruption</t>
        </is>
      </c>
      <c r="C15" s="6" t="inlineStr">
        <is>
          <t>A1900</t>
        </is>
      </c>
      <c r="D15" s="9" t="n">
        <v>14.8</v>
      </c>
      <c r="E15" s="6" t="inlineStr">
        <is>
          <t>Weather calendars, contingency workfronts, protection strategy</t>
        </is>
      </c>
    </row>
    <row r="16">
      <c r="A16" s="6" t="n">
        <v>11</v>
      </c>
      <c r="B16" s="6" t="inlineStr">
        <is>
          <t>Commercial claims escalation</t>
        </is>
      </c>
      <c r="C16" s="6" t="inlineStr">
        <is>
          <t>A1500</t>
        </is>
      </c>
      <c r="D16" s="9" t="n">
        <v>13.3</v>
      </c>
      <c r="E16" s="6" t="inlineStr">
        <is>
          <t>Tight change control, entitlement reviews, dispute avoidance board</t>
        </is>
      </c>
    </row>
    <row r="17">
      <c r="A17" s="6" t="n">
        <v>12</v>
      </c>
      <c r="B17" s="6" t="inlineStr">
        <is>
          <t>Interface misalignment</t>
        </is>
      </c>
      <c r="C17" s="6" t="inlineStr">
        <is>
          <t>A2100</t>
        </is>
      </c>
      <c r="D17" s="9" t="n">
        <v>11.9</v>
      </c>
      <c r="E17" s="6" t="inlineStr">
        <is>
          <t>Interface control documents, weekly interface board, accountable owners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4"/>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4</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15</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11</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30</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11</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4</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2</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4</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4</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6</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7</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4</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8</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7</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5</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16</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8</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4</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2</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4</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4</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6</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7</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4</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8</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7</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5</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16</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8</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4</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2</v>
      </c>
      <c r="G36" s="6" t="inlineStr">
        <is>
          <t>No</t>
        </is>
      </c>
      <c r="H36" s="6" t="inlineStr">
        <is>
          <t>Duration derived from sector schedule model, duration reflects commissioning validation sequencing, clean-utility validation, media-fill readiness and phased batch ramp-up rather than simple building completion..</t>
        </is>
      </c>
    </row>
    <row r="37">
      <c r="A37" s="6" t="inlineStr">
        <is>
          <t>4</t>
        </is>
      </c>
      <c r="B37" s="6" t="inlineStr">
        <is>
          <t>A1100</t>
        </is>
      </c>
      <c r="C37" s="6" t="inlineStr">
        <is>
          <t>Business Case</t>
        </is>
      </c>
      <c r="D37" s="6" t="inlineStr">
        <is>
          <t>Strategic brief, funding and approval</t>
        </is>
      </c>
      <c r="E37" s="6" t="inlineStr">
        <is>
          <t>A1000</t>
        </is>
      </c>
      <c r="F37" s="9" t="n">
        <v>4</v>
      </c>
      <c r="G37" s="6" t="inlineStr">
        <is>
          <t>No</t>
        </is>
      </c>
      <c r="H37" s="6" t="inlineStr">
        <is>
          <t>Duration derived from sector schedule model, duration reflects commissioning validation sequencing, clean-utility validation, media-fill readiness and phased batch ramp-up rather than simple building completion..</t>
        </is>
      </c>
    </row>
    <row r="38">
      <c r="A38" s="6" t="inlineStr">
        <is>
          <t>4</t>
        </is>
      </c>
      <c r="B38" s="6" t="inlineStr">
        <is>
          <t>A1200</t>
        </is>
      </c>
      <c r="C38" s="6" t="inlineStr">
        <is>
          <t>Scope</t>
        </is>
      </c>
      <c r="D38" s="6" t="inlineStr">
        <is>
          <t>Requirements definition and scope freeze</t>
        </is>
      </c>
      <c r="E38" s="6" t="inlineStr">
        <is>
          <t>A1100</t>
        </is>
      </c>
      <c r="F38" s="9" t="n">
        <v>4</v>
      </c>
      <c r="G38" s="6" t="inlineStr">
        <is>
          <t>No</t>
        </is>
      </c>
      <c r="H38" s="6" t="inlineStr">
        <is>
          <t>Duration derived from sector schedule model, duration reflects commissioning validation sequencing, clean-utility validation, media-fill readiness and phased batch ramp-up rather than simple building completion..</t>
        </is>
      </c>
    </row>
    <row r="39">
      <c r="A39" s="6" t="inlineStr">
        <is>
          <t>4</t>
        </is>
      </c>
      <c r="B39" s="6" t="inlineStr">
        <is>
          <t>A1300</t>
        </is>
      </c>
      <c r="C39" s="6" t="inlineStr">
        <is>
          <t>Design</t>
        </is>
      </c>
      <c r="D39" s="6" t="inlineStr">
        <is>
          <t>Concept / reference architecture</t>
        </is>
      </c>
      <c r="E39" s="6" t="inlineStr">
        <is>
          <t>A1200</t>
        </is>
      </c>
      <c r="F39" s="9" t="n">
        <v>6</v>
      </c>
      <c r="G39" s="6" t="inlineStr">
        <is>
          <t>No</t>
        </is>
      </c>
      <c r="H39" s="6" t="inlineStr">
        <is>
          <t>Duration derived from sector schedule model, duration reflects commissioning validation sequencing, clean-utility validation, media-fill readiness and phased batch ramp-up rather than simple building completion..</t>
        </is>
      </c>
    </row>
    <row r="40">
      <c r="A40" s="6" t="inlineStr">
        <is>
          <t>4</t>
        </is>
      </c>
      <c r="B40" s="6" t="inlineStr">
        <is>
          <t>A1400</t>
        </is>
      </c>
      <c r="C40" s="6" t="inlineStr">
        <is>
          <t>Consents</t>
        </is>
      </c>
      <c r="D40" s="6" t="inlineStr">
        <is>
          <t>Planning, regulatory and stakeholder approvals</t>
        </is>
      </c>
      <c r="E40" s="6" t="inlineStr">
        <is>
          <t>A1200</t>
        </is>
      </c>
      <c r="F40" s="9" t="n">
        <v>7</v>
      </c>
      <c r="G40" s="6" t="inlineStr">
        <is>
          <t>Yes</t>
        </is>
      </c>
      <c r="H40" s="6" t="inlineStr">
        <is>
          <t>Duration derived from sector schedule model, duration reflects commissioning validation sequencing, clean-utility validation, media-fill readiness and phased batch ramp-up rather than simple building completion..</t>
        </is>
      </c>
    </row>
    <row r="41">
      <c r="A41" s="6" t="inlineStr">
        <is>
          <t>4</t>
        </is>
      </c>
      <c r="B41" s="6" t="inlineStr">
        <is>
          <t>A1500</t>
        </is>
      </c>
      <c r="C41" s="6" t="inlineStr">
        <is>
          <t>Procurement</t>
        </is>
      </c>
      <c r="D41" s="6" t="inlineStr">
        <is>
          <t>Procurement strategy and tender packaging</t>
        </is>
      </c>
      <c r="E41" s="6" t="inlineStr">
        <is>
          <t>A1300</t>
        </is>
      </c>
      <c r="F41" s="9" t="n">
        <v>4</v>
      </c>
      <c r="G41" s="6" t="inlineStr">
        <is>
          <t>No</t>
        </is>
      </c>
      <c r="H41" s="6" t="inlineStr">
        <is>
          <t>Duration derived from sector schedule model, duration reflects commissioning validation sequencing, clean-utility validation, media-fill readiness and phased batch ramp-up rather than simple building completion..</t>
        </is>
      </c>
    </row>
    <row r="42">
      <c r="A42" s="6" t="inlineStr">
        <is>
          <t>4</t>
        </is>
      </c>
      <c r="B42" s="6" t="inlineStr">
        <is>
          <t>A1600</t>
        </is>
      </c>
      <c r="C42" s="6" t="inlineStr">
        <is>
          <t>Design</t>
        </is>
      </c>
      <c r="D42" s="6" t="inlineStr">
        <is>
          <t>Detailed design / IFC development</t>
        </is>
      </c>
      <c r="E42" s="6" t="inlineStr">
        <is>
          <t>A1300</t>
        </is>
      </c>
      <c r="F42" s="9" t="n">
        <v>8</v>
      </c>
      <c r="G42" s="6" t="inlineStr">
        <is>
          <t>No</t>
        </is>
      </c>
      <c r="H42" s="6" t="inlineStr">
        <is>
          <t>Duration derived from sector schedule model, duration reflects commissioning validation sequencing, clean-utility validation, media-fill readiness and phased batch ramp-up rather than simple building completion..</t>
        </is>
      </c>
    </row>
    <row r="43">
      <c r="A43" s="6" t="inlineStr">
        <is>
          <t>4</t>
        </is>
      </c>
      <c r="B43" s="6" t="inlineStr">
        <is>
          <t>A1700</t>
        </is>
      </c>
      <c r="C43" s="6" t="inlineStr">
        <is>
          <t>Procurement</t>
        </is>
      </c>
      <c r="D43" s="6" t="inlineStr">
        <is>
          <t>Long-lead procurement</t>
        </is>
      </c>
      <c r="E43" s="6" t="inlineStr">
        <is>
          <t>A1500</t>
        </is>
      </c>
      <c r="F43" s="9" t="n">
        <v>7</v>
      </c>
      <c r="G43" s="6" t="inlineStr">
        <is>
          <t>Yes</t>
        </is>
      </c>
      <c r="H43" s="6" t="inlineStr">
        <is>
          <t>Duration derived from sector schedule model, duration reflects commissioning validation sequencing, clean-utility validation, media-fill readiness and phased batch ramp-up rather than simple building completion..</t>
        </is>
      </c>
    </row>
    <row r="44">
      <c r="A44" s="6" t="inlineStr">
        <is>
          <t>4</t>
        </is>
      </c>
      <c r="B44" s="6" t="inlineStr">
        <is>
          <t>A1800</t>
        </is>
      </c>
      <c r="C44" s="6" t="inlineStr">
        <is>
          <t>Enabling</t>
        </is>
      </c>
      <c r="D44" s="6" t="inlineStr">
        <is>
          <t>Site / launch integration readiness</t>
        </is>
      </c>
      <c r="E44" s="6" t="inlineStr">
        <is>
          <t>A1400;A1500</t>
        </is>
      </c>
      <c r="F44" s="9" t="n">
        <v>5</v>
      </c>
      <c r="G44" s="6" t="inlineStr">
        <is>
          <t>No</t>
        </is>
      </c>
      <c r="H44" s="6" t="inlineStr">
        <is>
          <t>Duration derived from sector schedule model, duration reflects commissioning validation sequencing, clean-utility validation, media-fill readiness and phased batch ramp-up rather than simple building completion..</t>
        </is>
      </c>
    </row>
    <row r="45">
      <c r="A45" s="6" t="inlineStr">
        <is>
          <t>4</t>
        </is>
      </c>
      <c r="B45" s="6" t="inlineStr">
        <is>
          <t>A1900</t>
        </is>
      </c>
      <c r="C45" s="6" t="inlineStr">
        <is>
          <t>Delivery</t>
        </is>
      </c>
      <c r="D45" s="6" t="inlineStr">
        <is>
          <t>Main construction / fabrication / assembly</t>
        </is>
      </c>
      <c r="E45" s="6" t="inlineStr">
        <is>
          <t>A1600;A1700;A1800</t>
        </is>
      </c>
      <c r="F45" s="9" t="n">
        <v>16</v>
      </c>
      <c r="G45" s="6" t="inlineStr">
        <is>
          <t>Yes</t>
        </is>
      </c>
      <c r="H45" s="6" t="inlineStr">
        <is>
          <t>Duration reflects commissioning validation, GMP turnover, validation evidence and batch-readiness sequencing.</t>
        </is>
      </c>
    </row>
    <row r="46">
      <c r="A46" s="6" t="inlineStr">
        <is>
          <t>4</t>
        </is>
      </c>
      <c r="B46" s="6" t="inlineStr">
        <is>
          <t>A2000</t>
        </is>
      </c>
      <c r="C46" s="6" t="inlineStr">
        <is>
          <t>Integration</t>
        </is>
      </c>
      <c r="D46" s="6" t="inlineStr">
        <is>
          <t>Systems integration and testing</t>
        </is>
      </c>
      <c r="E46" s="6" t="inlineStr">
        <is>
          <t>A1900</t>
        </is>
      </c>
      <c r="F46" s="9" t="n">
        <v>8</v>
      </c>
      <c r="G46" s="6" t="inlineStr">
        <is>
          <t>Yes</t>
        </is>
      </c>
      <c r="H46" s="6" t="inlineStr">
        <is>
          <t>Duration derived from sector schedule model, duration reflects commissioning validation sequencing, clean-utility validation, media-fill readiness and phased batch ramp-up rather than simple building completion..</t>
        </is>
      </c>
    </row>
    <row r="47">
      <c r="A47" s="6" t="inlineStr">
        <is>
          <t>4</t>
        </is>
      </c>
      <c r="B47" s="6" t="inlineStr">
        <is>
          <t>A2100</t>
        </is>
      </c>
      <c r="C47" s="6" t="inlineStr">
        <is>
          <t>Handover</t>
        </is>
      </c>
      <c r="D47" s="6" t="inlineStr">
        <is>
          <t>Commissioning, operations readiness and closeout</t>
        </is>
      </c>
      <c r="E47" s="6" t="inlineStr">
        <is>
          <t>A2000</t>
        </is>
      </c>
      <c r="F47" s="9" t="n">
        <v>4</v>
      </c>
      <c r="G47" s="6" t="inlineStr">
        <is>
          <t>Yes</t>
        </is>
      </c>
      <c r="H47" s="6" t="inlineStr">
        <is>
          <t>Duration reflects commissioning validation, GMP turnover, validation evidence and batch-readiness sequencing.</t>
        </is>
      </c>
    </row>
    <row r="48">
      <c r="A48" s="6" t="inlineStr">
        <is>
          <t>4</t>
        </is>
      </c>
      <c r="B48" s="6" t="inlineStr">
        <is>
          <t>P1000</t>
        </is>
      </c>
      <c r="C48" s="6" t="inlineStr">
        <is>
          <t>Package</t>
        </is>
      </c>
      <c r="D48" s="6" t="inlineStr">
        <is>
          <t>Civil / structural package</t>
        </is>
      </c>
      <c r="E48" s="6" t="inlineStr">
        <is>
          <t>A1900</t>
        </is>
      </c>
      <c r="F48" s="9" t="n">
        <v>3</v>
      </c>
      <c r="G48" s="6" t="inlineStr">
        <is>
          <t>Yes</t>
        </is>
      </c>
      <c r="H48" s="6" t="inlineStr">
        <is>
          <t>Duration derived from sector schedule model, duration reflects commissioning validation sequencing, clean-utility validation, media-fill readiness and phased batch ramp-up rather than simple building completion..</t>
        </is>
      </c>
    </row>
    <row r="49">
      <c r="A49" s="6" t="inlineStr">
        <is>
          <t>4</t>
        </is>
      </c>
      <c r="B49" s="6" t="inlineStr">
        <is>
          <t>P2000</t>
        </is>
      </c>
      <c r="C49" s="6" t="inlineStr">
        <is>
          <t>Package</t>
        </is>
      </c>
      <c r="D49" s="6" t="inlineStr">
        <is>
          <t>MEP / systems package</t>
        </is>
      </c>
      <c r="E49" s="6" t="inlineStr">
        <is>
          <t>P1000</t>
        </is>
      </c>
      <c r="F49" s="9" t="n">
        <v>3</v>
      </c>
      <c r="G49" s="6" t="inlineStr">
        <is>
          <t>Yes</t>
        </is>
      </c>
      <c r="H49" s="6" t="inlineStr">
        <is>
          <t>Duration derived from sector schedule model, duration reflects commissioning validation sequencing, clean-utility validation, media-fill readiness and phased batch ramp-up rather than simple building completion..</t>
        </is>
      </c>
    </row>
    <row r="50">
      <c r="A50" s="6" t="inlineStr">
        <is>
          <t>4</t>
        </is>
      </c>
      <c r="B50" s="6" t="inlineStr">
        <is>
          <t>P3000</t>
        </is>
      </c>
      <c r="C50" s="6" t="inlineStr">
        <is>
          <t>Package</t>
        </is>
      </c>
      <c r="D50" s="6" t="inlineStr">
        <is>
          <t>Specialist equipment package</t>
        </is>
      </c>
      <c r="E50" s="6" t="inlineStr">
        <is>
          <t>P2000</t>
        </is>
      </c>
      <c r="F50" s="9" t="n">
        <v>3</v>
      </c>
      <c r="G50" s="6" t="inlineStr">
        <is>
          <t>Yes</t>
        </is>
      </c>
      <c r="H50" s="6" t="inlineStr">
        <is>
          <t>Duration derived from sector schedule model, duration reflects commissioning validation sequencing, clean-utility validation, media-fill readiness and phased batch ramp-up rather than simple building completion..</t>
        </is>
      </c>
    </row>
    <row r="51">
      <c r="A51" s="6" t="inlineStr">
        <is>
          <t>4</t>
        </is>
      </c>
      <c r="B51" s="6" t="inlineStr">
        <is>
          <t>P4000</t>
        </is>
      </c>
      <c r="C51" s="6" t="inlineStr">
        <is>
          <t>Package</t>
        </is>
      </c>
      <c r="D51" s="6" t="inlineStr">
        <is>
          <t>Utilities / interfaces package</t>
        </is>
      </c>
      <c r="E51" s="6" t="inlineStr">
        <is>
          <t>P3000</t>
        </is>
      </c>
      <c r="F51" s="9" t="n">
        <v>3</v>
      </c>
      <c r="G51" s="6" t="inlineStr">
        <is>
          <t>Yes</t>
        </is>
      </c>
      <c r="H51" s="6" t="inlineStr">
        <is>
          <t>Duration derived from sector schedule model, duration reflects commissioning validation sequencing, clean-utility validation, media-fill readiness and phased batch ramp-up rather than simple building completion..</t>
        </is>
      </c>
    </row>
    <row r="52">
      <c r="A52" s="6" t="inlineStr">
        <is>
          <t>4</t>
        </is>
      </c>
      <c r="B52" s="6" t="inlineStr">
        <is>
          <t>P5000</t>
        </is>
      </c>
      <c r="C52" s="6" t="inlineStr">
        <is>
          <t>Package</t>
        </is>
      </c>
      <c r="D52" s="6" t="inlineStr">
        <is>
          <t>Testing and commissioning package</t>
        </is>
      </c>
      <c r="E52" s="6" t="inlineStr">
        <is>
          <t>P4000</t>
        </is>
      </c>
      <c r="F52" s="9" t="n">
        <v>3</v>
      </c>
      <c r="G52" s="6" t="inlineStr">
        <is>
          <t>Yes</t>
        </is>
      </c>
      <c r="H52" s="6" t="inlineStr">
        <is>
          <t>Duration derived from sector schedule model, duration reflects commissioning validation sequencing, clean-utility validation, media-fill readiness and phased batch ramp-up rather than simple building completion..</t>
        </is>
      </c>
    </row>
    <row r="53">
      <c r="A53" s="6" t="inlineStr">
        <is>
          <t>5</t>
        </is>
      </c>
      <c r="B53" s="6" t="inlineStr">
        <is>
          <t>A1000</t>
        </is>
      </c>
      <c r="C53" s="6" t="inlineStr">
        <is>
          <t>Governance</t>
        </is>
      </c>
      <c r="D53" s="6" t="inlineStr">
        <is>
          <t>Project initiation / controls setup</t>
        </is>
      </c>
      <c r="E53" s="6" t="n"/>
      <c r="F53" s="9" t="n">
        <v>2</v>
      </c>
      <c r="G53" s="6" t="inlineStr">
        <is>
          <t>No</t>
        </is>
      </c>
      <c r="H53" s="6" t="inlineStr">
        <is>
          <t>Duration derived from sector schedule model, selected schedule level and scenario compression/buffer logic.</t>
        </is>
      </c>
    </row>
    <row r="54">
      <c r="A54" s="6" t="inlineStr">
        <is>
          <t>5</t>
        </is>
      </c>
      <c r="B54" s="6" t="inlineStr">
        <is>
          <t>A1100</t>
        </is>
      </c>
      <c r="C54" s="6" t="inlineStr">
        <is>
          <t>Business Case</t>
        </is>
      </c>
      <c r="D54" s="6" t="inlineStr">
        <is>
          <t>Strategic brief, funding and approval</t>
        </is>
      </c>
      <c r="E54" s="6" t="inlineStr">
        <is>
          <t>A1000</t>
        </is>
      </c>
      <c r="F54" s="9" t="n">
        <v>4</v>
      </c>
      <c r="G54" s="6" t="inlineStr">
        <is>
          <t>No</t>
        </is>
      </c>
      <c r="H54" s="6" t="inlineStr">
        <is>
          <t>Duration derived from sector schedule model, selected schedule level and scenario compression/buffer logic.</t>
        </is>
      </c>
    </row>
    <row r="55">
      <c r="A55" s="6" t="inlineStr">
        <is>
          <t>5</t>
        </is>
      </c>
      <c r="B55" s="6" t="inlineStr">
        <is>
          <t>A1200</t>
        </is>
      </c>
      <c r="C55" s="6" t="inlineStr">
        <is>
          <t>Scope</t>
        </is>
      </c>
      <c r="D55" s="6" t="inlineStr">
        <is>
          <t>Requirements definition and scope freeze</t>
        </is>
      </c>
      <c r="E55" s="6" t="inlineStr">
        <is>
          <t>A1100</t>
        </is>
      </c>
      <c r="F55" s="9" t="n">
        <v>4</v>
      </c>
      <c r="G55" s="6" t="inlineStr">
        <is>
          <t>No</t>
        </is>
      </c>
      <c r="H55" s="6" t="inlineStr">
        <is>
          <t>Duration derived from sector schedule model, selected schedule level and scenario compression/buffer logic.</t>
        </is>
      </c>
    </row>
    <row r="56">
      <c r="A56" s="6" t="inlineStr">
        <is>
          <t>5</t>
        </is>
      </c>
      <c r="B56" s="6" t="inlineStr">
        <is>
          <t>A1300</t>
        </is>
      </c>
      <c r="C56" s="6" t="inlineStr">
        <is>
          <t>Design</t>
        </is>
      </c>
      <c r="D56" s="6" t="inlineStr">
        <is>
          <t>Concept / reference architecture</t>
        </is>
      </c>
      <c r="E56" s="6" t="inlineStr">
        <is>
          <t>A1200</t>
        </is>
      </c>
      <c r="F56" s="9" t="n">
        <v>6</v>
      </c>
      <c r="G56" s="6" t="inlineStr">
        <is>
          <t>No</t>
        </is>
      </c>
      <c r="H56" s="6" t="inlineStr">
        <is>
          <t>Duration derived from sector schedule model, selected schedule level and scenario compression/buffer logic.</t>
        </is>
      </c>
    </row>
    <row r="57">
      <c r="A57" s="6" t="inlineStr">
        <is>
          <t>5</t>
        </is>
      </c>
      <c r="B57" s="6" t="inlineStr">
        <is>
          <t>A1400</t>
        </is>
      </c>
      <c r="C57" s="6" t="inlineStr">
        <is>
          <t>Consents</t>
        </is>
      </c>
      <c r="D57" s="6" t="inlineStr">
        <is>
          <t>Planning, regulatory and stakeholder approvals</t>
        </is>
      </c>
      <c r="E57" s="6" t="inlineStr">
        <is>
          <t>A1200</t>
        </is>
      </c>
      <c r="F57" s="9" t="n">
        <v>7</v>
      </c>
      <c r="G57" s="6" t="inlineStr">
        <is>
          <t>Yes</t>
        </is>
      </c>
      <c r="H57" s="6" t="inlineStr">
        <is>
          <t>Duration derived from sector schedule model, selected schedule level and scenario compression/buffer logic.</t>
        </is>
      </c>
    </row>
    <row r="58">
      <c r="A58" s="6" t="inlineStr">
        <is>
          <t>5</t>
        </is>
      </c>
      <c r="B58" s="6" t="inlineStr">
        <is>
          <t>A1500</t>
        </is>
      </c>
      <c r="C58" s="6" t="inlineStr">
        <is>
          <t>Procurement</t>
        </is>
      </c>
      <c r="D58" s="6" t="inlineStr">
        <is>
          <t>Procurement strategy and tender packaging</t>
        </is>
      </c>
      <c r="E58" s="6" t="inlineStr">
        <is>
          <t>A1300</t>
        </is>
      </c>
      <c r="F58" s="9" t="n">
        <v>4</v>
      </c>
      <c r="G58" s="6" t="inlineStr">
        <is>
          <t>No</t>
        </is>
      </c>
      <c r="H58" s="6" t="inlineStr">
        <is>
          <t>Duration derived from sector schedule model, selected schedule level and scenario compression/buffer logic.</t>
        </is>
      </c>
    </row>
    <row r="59">
      <c r="A59" s="6" t="inlineStr">
        <is>
          <t>5</t>
        </is>
      </c>
      <c r="B59" s="6" t="inlineStr">
        <is>
          <t>A1600</t>
        </is>
      </c>
      <c r="C59" s="6" t="inlineStr">
        <is>
          <t>Design</t>
        </is>
      </c>
      <c r="D59" s="6" t="inlineStr">
        <is>
          <t>Detailed design / IFC development</t>
        </is>
      </c>
      <c r="E59" s="6" t="inlineStr">
        <is>
          <t>A1300</t>
        </is>
      </c>
      <c r="F59" s="9" t="n">
        <v>8</v>
      </c>
      <c r="G59" s="6" t="inlineStr">
        <is>
          <t>No</t>
        </is>
      </c>
      <c r="H59" s="6" t="inlineStr">
        <is>
          <t>Duration derived from sector schedule model, selected schedule level and scenario compression/buffer logic.</t>
        </is>
      </c>
    </row>
    <row r="60">
      <c r="A60" s="6" t="inlineStr">
        <is>
          <t>5</t>
        </is>
      </c>
      <c r="B60" s="6" t="inlineStr">
        <is>
          <t>A1700</t>
        </is>
      </c>
      <c r="C60" s="6" t="inlineStr">
        <is>
          <t>Procurement</t>
        </is>
      </c>
      <c r="D60" s="6" t="inlineStr">
        <is>
          <t>Long-lead procurement</t>
        </is>
      </c>
      <c r="E60" s="6" t="inlineStr">
        <is>
          <t>A1500</t>
        </is>
      </c>
      <c r="F60" s="9" t="n">
        <v>7</v>
      </c>
      <c r="G60" s="6" t="inlineStr">
        <is>
          <t>Yes</t>
        </is>
      </c>
      <c r="H60" s="6" t="inlineStr">
        <is>
          <t>Duration derived from sector schedule model, selected schedule level and scenario compression/buffer logic.</t>
        </is>
      </c>
    </row>
    <row r="61">
      <c r="A61" s="6" t="inlineStr">
        <is>
          <t>5</t>
        </is>
      </c>
      <c r="B61" s="6" t="inlineStr">
        <is>
          <t>A1800</t>
        </is>
      </c>
      <c r="C61" s="6" t="inlineStr">
        <is>
          <t>Enabling</t>
        </is>
      </c>
      <c r="D61" s="6" t="inlineStr">
        <is>
          <t>Site / launch integration readiness</t>
        </is>
      </c>
      <c r="E61" s="6" t="inlineStr">
        <is>
          <t>A1400;A1500</t>
        </is>
      </c>
      <c r="F61" s="9" t="n">
        <v>5</v>
      </c>
      <c r="G61" s="6" t="inlineStr">
        <is>
          <t>No</t>
        </is>
      </c>
      <c r="H61" s="6" t="inlineStr">
        <is>
          <t>Duration derived from sector schedule model, selected schedule level and scenario compression/buffer logic.</t>
        </is>
      </c>
    </row>
    <row r="62">
      <c r="A62" s="6" t="inlineStr">
        <is>
          <t>5</t>
        </is>
      </c>
      <c r="B62" s="6" t="inlineStr">
        <is>
          <t>A1900</t>
        </is>
      </c>
      <c r="C62" s="6" t="inlineStr">
        <is>
          <t>Delivery</t>
        </is>
      </c>
      <c r="D62" s="6" t="inlineStr">
        <is>
          <t>Main construction / fabrication / assembly</t>
        </is>
      </c>
      <c r="E62" s="6" t="inlineStr">
        <is>
          <t>A1600;A1700;A1800</t>
        </is>
      </c>
      <c r="F62" s="9" t="n">
        <v>16</v>
      </c>
      <c r="G62" s="6" t="inlineStr">
        <is>
          <t>Yes</t>
        </is>
      </c>
      <c r="H62" s="6" t="inlineStr">
        <is>
          <t>Duration derived from sector schedule model, selected schedule level and scenario compression/buffer logic.</t>
        </is>
      </c>
    </row>
    <row r="63">
      <c r="A63" s="6" t="inlineStr">
        <is>
          <t>5</t>
        </is>
      </c>
      <c r="B63" s="6" t="inlineStr">
        <is>
          <t>A2000</t>
        </is>
      </c>
      <c r="C63" s="6" t="inlineStr">
        <is>
          <t>Integration</t>
        </is>
      </c>
      <c r="D63" s="6" t="inlineStr">
        <is>
          <t>Systems integration and testing</t>
        </is>
      </c>
      <c r="E63" s="6" t="inlineStr">
        <is>
          <t>A1900</t>
        </is>
      </c>
      <c r="F63" s="9" t="n">
        <v>8</v>
      </c>
      <c r="G63" s="6" t="inlineStr">
        <is>
          <t>Yes</t>
        </is>
      </c>
      <c r="H63" s="6" t="inlineStr">
        <is>
          <t>Duration derived from sector schedule model, selected schedule level and scenario compression/buffer logic.</t>
        </is>
      </c>
    </row>
    <row r="64">
      <c r="A64" s="6" t="inlineStr">
        <is>
          <t>5</t>
        </is>
      </c>
      <c r="B64" s="6" t="inlineStr">
        <is>
          <t>A2100</t>
        </is>
      </c>
      <c r="C64" s="6" t="inlineStr">
        <is>
          <t>Handover</t>
        </is>
      </c>
      <c r="D64" s="6" t="inlineStr">
        <is>
          <t>Commissioning, operations readiness and closeout</t>
        </is>
      </c>
      <c r="E64" s="6" t="inlineStr">
        <is>
          <t>A2000</t>
        </is>
      </c>
      <c r="F64" s="9" t="n">
        <v>4</v>
      </c>
      <c r="G64" s="6" t="inlineStr">
        <is>
          <t>Yes</t>
        </is>
      </c>
      <c r="H64" s="6" t="inlineStr">
        <is>
          <t>Duration derived from sector schedule model, selected schedule level and scenario compression/buffer logic.</t>
        </is>
      </c>
    </row>
    <row r="65">
      <c r="A65" s="6" t="inlineStr">
        <is>
          <t>5</t>
        </is>
      </c>
      <c r="B65" s="6" t="inlineStr">
        <is>
          <t>P1000</t>
        </is>
      </c>
      <c r="C65" s="6" t="inlineStr">
        <is>
          <t>Package</t>
        </is>
      </c>
      <c r="D65" s="6" t="inlineStr">
        <is>
          <t>Civil / structural package</t>
        </is>
      </c>
      <c r="E65" s="6" t="inlineStr">
        <is>
          <t>A1900</t>
        </is>
      </c>
      <c r="F65" s="9" t="n">
        <v>3</v>
      </c>
      <c r="G65" s="6" t="inlineStr">
        <is>
          <t>Yes</t>
        </is>
      </c>
      <c r="H65" s="6" t="inlineStr">
        <is>
          <t>Duration derived from sector schedule model, selected schedule level and scenario compression/buffer logic.</t>
        </is>
      </c>
    </row>
    <row r="66">
      <c r="A66" s="6" t="inlineStr">
        <is>
          <t>5</t>
        </is>
      </c>
      <c r="B66" s="6" t="inlineStr">
        <is>
          <t>P1100</t>
        </is>
      </c>
      <c r="C66" s="6" t="inlineStr">
        <is>
          <t>Activity</t>
        </is>
      </c>
      <c r="D66" s="6" t="inlineStr">
        <is>
          <t>Civil / structural package - mobilise / method</t>
        </is>
      </c>
      <c r="E66" s="6" t="inlineStr">
        <is>
          <t>A1900</t>
        </is>
      </c>
      <c r="F66" s="9" t="n">
        <v>1</v>
      </c>
      <c r="G66" s="6" t="inlineStr">
        <is>
          <t>Yes</t>
        </is>
      </c>
      <c r="H66" s="6" t="inlineStr">
        <is>
          <t>Duration derived from sector schedule model, selected schedule level and scenario compression/buffer logic.</t>
        </is>
      </c>
    </row>
    <row r="67">
      <c r="A67" s="6" t="inlineStr">
        <is>
          <t>5</t>
        </is>
      </c>
      <c r="B67" s="6" t="inlineStr">
        <is>
          <t>P1200</t>
        </is>
      </c>
      <c r="C67" s="6" t="inlineStr">
        <is>
          <t>Activity</t>
        </is>
      </c>
      <c r="D67" s="6" t="inlineStr">
        <is>
          <t>Civil / structural package - execute works</t>
        </is>
      </c>
      <c r="E67" s="6" t="inlineStr">
        <is>
          <t>P1100</t>
        </is>
      </c>
      <c r="F67" s="9" t="n">
        <v>2</v>
      </c>
      <c r="G67" s="6" t="inlineStr">
        <is>
          <t>Yes</t>
        </is>
      </c>
      <c r="H67" s="6" t="inlineStr">
        <is>
          <t>Duration derived from sector schedule model, selected schedule level and scenario compression/buffer logic.</t>
        </is>
      </c>
    </row>
    <row r="68">
      <c r="A68" s="6" t="inlineStr">
        <is>
          <t>5</t>
        </is>
      </c>
      <c r="B68" s="6" t="inlineStr">
        <is>
          <t>P1300</t>
        </is>
      </c>
      <c r="C68" s="6" t="inlineStr">
        <is>
          <t>Activity</t>
        </is>
      </c>
      <c r="D68" s="6" t="inlineStr">
        <is>
          <t>Civil / structural package - inspect / closeout</t>
        </is>
      </c>
      <c r="E68" s="6" t="inlineStr">
        <is>
          <t>P1200</t>
        </is>
      </c>
      <c r="F68" s="9" t="n">
        <v>1</v>
      </c>
      <c r="G68" s="6" t="inlineStr">
        <is>
          <t>Yes</t>
        </is>
      </c>
      <c r="H68" s="6" t="inlineStr">
        <is>
          <t>Duration derived from sector schedule model, selected schedule level and scenario compression/buffer logic.</t>
        </is>
      </c>
    </row>
    <row r="69">
      <c r="A69" s="6" t="inlineStr">
        <is>
          <t>5</t>
        </is>
      </c>
      <c r="B69" s="6" t="inlineStr">
        <is>
          <t>P2000</t>
        </is>
      </c>
      <c r="C69" s="6" t="inlineStr">
        <is>
          <t>Package</t>
        </is>
      </c>
      <c r="D69" s="6" t="inlineStr">
        <is>
          <t>MEP / systems package</t>
        </is>
      </c>
      <c r="E69" s="6" t="inlineStr">
        <is>
          <t>P1000</t>
        </is>
      </c>
      <c r="F69" s="9" t="n">
        <v>3</v>
      </c>
      <c r="G69" s="6" t="inlineStr">
        <is>
          <t>Yes</t>
        </is>
      </c>
      <c r="H69" s="6" t="inlineStr">
        <is>
          <t>Duration derived from sector schedule model, selected schedule level and scenario compression/buffer logic.</t>
        </is>
      </c>
    </row>
    <row r="70">
      <c r="A70" s="6" t="inlineStr">
        <is>
          <t>5</t>
        </is>
      </c>
      <c r="B70" s="6" t="inlineStr">
        <is>
          <t>P2100</t>
        </is>
      </c>
      <c r="C70" s="6" t="inlineStr">
        <is>
          <t>Activity</t>
        </is>
      </c>
      <c r="D70" s="6" t="inlineStr">
        <is>
          <t>MEP / systems package - mobilise / method</t>
        </is>
      </c>
      <c r="E70" s="6" t="inlineStr">
        <is>
          <t>P1000</t>
        </is>
      </c>
      <c r="F70" s="9" t="n">
        <v>1</v>
      </c>
      <c r="G70" s="6" t="inlineStr">
        <is>
          <t>Yes</t>
        </is>
      </c>
      <c r="H70" s="6" t="inlineStr">
        <is>
          <t>Duration derived from sector schedule model, selected schedule level and scenario compression/buffer logic.</t>
        </is>
      </c>
    </row>
    <row r="71">
      <c r="A71" s="6" t="inlineStr">
        <is>
          <t>5</t>
        </is>
      </c>
      <c r="B71" s="6" t="inlineStr">
        <is>
          <t>P2200</t>
        </is>
      </c>
      <c r="C71" s="6" t="inlineStr">
        <is>
          <t>Activity</t>
        </is>
      </c>
      <c r="D71" s="6" t="inlineStr">
        <is>
          <t>MEP / systems package - execute works</t>
        </is>
      </c>
      <c r="E71" s="6" t="inlineStr">
        <is>
          <t>P2100</t>
        </is>
      </c>
      <c r="F71" s="9" t="n">
        <v>2</v>
      </c>
      <c r="G71" s="6" t="inlineStr">
        <is>
          <t>Yes</t>
        </is>
      </c>
      <c r="H71" s="6" t="inlineStr">
        <is>
          <t>Duration derived from sector schedule model, selected schedule level and scenario compression/buffer logic.</t>
        </is>
      </c>
    </row>
    <row r="72">
      <c r="A72" s="6" t="inlineStr">
        <is>
          <t>5</t>
        </is>
      </c>
      <c r="B72" s="6" t="inlineStr">
        <is>
          <t>P2300</t>
        </is>
      </c>
      <c r="C72" s="6" t="inlineStr">
        <is>
          <t>Activity</t>
        </is>
      </c>
      <c r="D72" s="6" t="inlineStr">
        <is>
          <t>MEP / systems package - inspect / closeout</t>
        </is>
      </c>
      <c r="E72" s="6" t="inlineStr">
        <is>
          <t>P2200</t>
        </is>
      </c>
      <c r="F72" s="9" t="n">
        <v>1</v>
      </c>
      <c r="G72" s="6" t="inlineStr">
        <is>
          <t>Yes</t>
        </is>
      </c>
      <c r="H72" s="6" t="inlineStr">
        <is>
          <t>Duration derived from sector schedule model, selected schedule level and scenario compression/buffer logic.</t>
        </is>
      </c>
    </row>
    <row r="73">
      <c r="A73" s="6" t="inlineStr">
        <is>
          <t>5</t>
        </is>
      </c>
      <c r="B73" s="6" t="inlineStr">
        <is>
          <t>P3000</t>
        </is>
      </c>
      <c r="C73" s="6" t="inlineStr">
        <is>
          <t>Package</t>
        </is>
      </c>
      <c r="D73" s="6" t="inlineStr">
        <is>
          <t>Specialist equipment package</t>
        </is>
      </c>
      <c r="E73" s="6" t="inlineStr">
        <is>
          <t>P2000</t>
        </is>
      </c>
      <c r="F73" s="9" t="n">
        <v>3</v>
      </c>
      <c r="G73" s="6" t="inlineStr">
        <is>
          <t>Yes</t>
        </is>
      </c>
      <c r="H73" s="6" t="inlineStr">
        <is>
          <t>Duration derived from sector schedule model, selected schedule level and scenario compression/buffer logic.</t>
        </is>
      </c>
    </row>
    <row r="74">
      <c r="A74" s="6" t="inlineStr">
        <is>
          <t>5</t>
        </is>
      </c>
      <c r="B74" s="6" t="inlineStr">
        <is>
          <t>P3100</t>
        </is>
      </c>
      <c r="C74" s="6" t="inlineStr">
        <is>
          <t>Activity</t>
        </is>
      </c>
      <c r="D74" s="6" t="inlineStr">
        <is>
          <t>Specialist equipment package - mobilise / method</t>
        </is>
      </c>
      <c r="E74" s="6" t="inlineStr">
        <is>
          <t>P2000</t>
        </is>
      </c>
      <c r="F74" s="9" t="n">
        <v>1</v>
      </c>
      <c r="G74" s="6" t="inlineStr">
        <is>
          <t>Yes</t>
        </is>
      </c>
      <c r="H74" s="6" t="inlineStr">
        <is>
          <t>Duration derived from sector schedule model, selected schedule level and scenario compression/buffer logic.</t>
        </is>
      </c>
    </row>
    <row r="75">
      <c r="A75" s="6" t="inlineStr">
        <is>
          <t>5</t>
        </is>
      </c>
      <c r="B75" s="6" t="inlineStr">
        <is>
          <t>P3200</t>
        </is>
      </c>
      <c r="C75" s="6" t="inlineStr">
        <is>
          <t>Activity</t>
        </is>
      </c>
      <c r="D75" s="6" t="inlineStr">
        <is>
          <t>Specialist equipment package - execute works</t>
        </is>
      </c>
      <c r="E75" s="6" t="inlineStr">
        <is>
          <t>P3100</t>
        </is>
      </c>
      <c r="F75" s="9" t="n">
        <v>2</v>
      </c>
      <c r="G75" s="6" t="inlineStr">
        <is>
          <t>Yes</t>
        </is>
      </c>
      <c r="H75" s="6" t="inlineStr">
        <is>
          <t>Duration derived from sector schedule model, selected schedule level and scenario compression/buffer logic.</t>
        </is>
      </c>
    </row>
    <row r="76">
      <c r="A76" s="6" t="inlineStr">
        <is>
          <t>5</t>
        </is>
      </c>
      <c r="B76" s="6" t="inlineStr">
        <is>
          <t>P3300</t>
        </is>
      </c>
      <c r="C76" s="6" t="inlineStr">
        <is>
          <t>Activity</t>
        </is>
      </c>
      <c r="D76" s="6" t="inlineStr">
        <is>
          <t>Specialist equipment package - inspect / closeout</t>
        </is>
      </c>
      <c r="E76" s="6" t="inlineStr">
        <is>
          <t>P3200</t>
        </is>
      </c>
      <c r="F76" s="9" t="n">
        <v>1</v>
      </c>
      <c r="G76" s="6" t="inlineStr">
        <is>
          <t>Yes</t>
        </is>
      </c>
      <c r="H76" s="6" t="inlineStr">
        <is>
          <t>Duration derived from sector schedule model, selected schedule level and scenario compression/buffer logic.</t>
        </is>
      </c>
    </row>
    <row r="77">
      <c r="A77" s="6" t="inlineStr">
        <is>
          <t>5</t>
        </is>
      </c>
      <c r="B77" s="6" t="inlineStr">
        <is>
          <t>P4000</t>
        </is>
      </c>
      <c r="C77" s="6" t="inlineStr">
        <is>
          <t>Package</t>
        </is>
      </c>
      <c r="D77" s="6" t="inlineStr">
        <is>
          <t>Utilities / interfaces package</t>
        </is>
      </c>
      <c r="E77" s="6" t="inlineStr">
        <is>
          <t>P3000</t>
        </is>
      </c>
      <c r="F77" s="9" t="n">
        <v>3</v>
      </c>
      <c r="G77" s="6" t="inlineStr">
        <is>
          <t>Yes</t>
        </is>
      </c>
      <c r="H77" s="6" t="inlineStr">
        <is>
          <t>Duration derived from sector schedule model, selected schedule level and scenario compression/buffer logic.</t>
        </is>
      </c>
    </row>
    <row r="78">
      <c r="A78" s="6" t="inlineStr">
        <is>
          <t>5</t>
        </is>
      </c>
      <c r="B78" s="6" t="inlineStr">
        <is>
          <t>P4100</t>
        </is>
      </c>
      <c r="C78" s="6" t="inlineStr">
        <is>
          <t>Activity</t>
        </is>
      </c>
      <c r="D78" s="6" t="inlineStr">
        <is>
          <t>Utilities / interfaces package - mobilise / method</t>
        </is>
      </c>
      <c r="E78" s="6" t="inlineStr">
        <is>
          <t>P3000</t>
        </is>
      </c>
      <c r="F78" s="9" t="n">
        <v>1</v>
      </c>
      <c r="G78" s="6" t="inlineStr">
        <is>
          <t>Yes</t>
        </is>
      </c>
      <c r="H78" s="6" t="inlineStr">
        <is>
          <t>Duration derived from sector schedule model, selected schedule level and scenario compression/buffer logic.</t>
        </is>
      </c>
    </row>
    <row r="79">
      <c r="A79" s="6" t="inlineStr">
        <is>
          <t>5</t>
        </is>
      </c>
      <c r="B79" s="6" t="inlineStr">
        <is>
          <t>P4200</t>
        </is>
      </c>
      <c r="C79" s="6" t="inlineStr">
        <is>
          <t>Activity</t>
        </is>
      </c>
      <c r="D79" s="6" t="inlineStr">
        <is>
          <t>Utilities / interfaces package - execute works</t>
        </is>
      </c>
      <c r="E79" s="6" t="inlineStr">
        <is>
          <t>P4100</t>
        </is>
      </c>
      <c r="F79" s="9" t="n">
        <v>2</v>
      </c>
      <c r="G79" s="6" t="inlineStr">
        <is>
          <t>Yes</t>
        </is>
      </c>
      <c r="H79" s="6" t="inlineStr">
        <is>
          <t>Duration derived from sector schedule model, selected schedule level and scenario compression/buffer logic.</t>
        </is>
      </c>
    </row>
    <row r="80">
      <c r="A80" s="6" t="inlineStr">
        <is>
          <t>5</t>
        </is>
      </c>
      <c r="B80" s="6" t="inlineStr">
        <is>
          <t>P4300</t>
        </is>
      </c>
      <c r="C80" s="6" t="inlineStr">
        <is>
          <t>Activity</t>
        </is>
      </c>
      <c r="D80" s="6" t="inlineStr">
        <is>
          <t>Utilities / interfaces package - inspect / closeout</t>
        </is>
      </c>
      <c r="E80" s="6" t="inlineStr">
        <is>
          <t>P4200</t>
        </is>
      </c>
      <c r="F80" s="9" t="n">
        <v>1</v>
      </c>
      <c r="G80" s="6" t="inlineStr">
        <is>
          <t>Yes</t>
        </is>
      </c>
      <c r="H80" s="6" t="inlineStr">
        <is>
          <t>Duration derived from sector schedule model, selected schedule level and scenario compression/buffer logic.</t>
        </is>
      </c>
    </row>
    <row r="81">
      <c r="A81" s="6" t="inlineStr">
        <is>
          <t>5</t>
        </is>
      </c>
      <c r="B81" s="6" t="inlineStr">
        <is>
          <t>P5000</t>
        </is>
      </c>
      <c r="C81" s="6" t="inlineStr">
        <is>
          <t>Package</t>
        </is>
      </c>
      <c r="D81" s="6" t="inlineStr">
        <is>
          <t>Testing and commissioning package</t>
        </is>
      </c>
      <c r="E81" s="6" t="inlineStr">
        <is>
          <t>P4000</t>
        </is>
      </c>
      <c r="F81" s="9" t="n">
        <v>3</v>
      </c>
      <c r="G81" s="6" t="inlineStr">
        <is>
          <t>Yes</t>
        </is>
      </c>
      <c r="H81" s="6" t="inlineStr">
        <is>
          <t>Duration derived from sector schedule model, selected schedule level and scenario compression/buffer logic.</t>
        </is>
      </c>
    </row>
    <row r="82">
      <c r="A82" s="6" t="inlineStr">
        <is>
          <t>5</t>
        </is>
      </c>
      <c r="B82" s="6" t="inlineStr">
        <is>
          <t>P5100</t>
        </is>
      </c>
      <c r="C82" s="6" t="inlineStr">
        <is>
          <t>Activity</t>
        </is>
      </c>
      <c r="D82" s="6" t="inlineStr">
        <is>
          <t>Testing and commissioning package - mobilise / method</t>
        </is>
      </c>
      <c r="E82" s="6" t="inlineStr">
        <is>
          <t>P4000</t>
        </is>
      </c>
      <c r="F82" s="9" t="n">
        <v>1</v>
      </c>
      <c r="G82" s="6" t="inlineStr">
        <is>
          <t>Yes</t>
        </is>
      </c>
      <c r="H82" s="6" t="inlineStr">
        <is>
          <t>Duration derived from sector schedule model, selected schedule level and scenario compression/buffer logic.</t>
        </is>
      </c>
    </row>
    <row r="83">
      <c r="A83" s="6" t="inlineStr">
        <is>
          <t>5</t>
        </is>
      </c>
      <c r="B83" s="6" t="inlineStr">
        <is>
          <t>P5200</t>
        </is>
      </c>
      <c r="C83" s="6" t="inlineStr">
        <is>
          <t>Activity</t>
        </is>
      </c>
      <c r="D83" s="6" t="inlineStr">
        <is>
          <t>Testing and commissioning package - execute works</t>
        </is>
      </c>
      <c r="E83" s="6" t="inlineStr">
        <is>
          <t>P5100</t>
        </is>
      </c>
      <c r="F83" s="9" t="n">
        <v>2</v>
      </c>
      <c r="G83" s="6" t="inlineStr">
        <is>
          <t>Yes</t>
        </is>
      </c>
      <c r="H83" s="6" t="inlineStr">
        <is>
          <t>Duration derived from sector schedule model, selected schedule level and scenario compression/buffer logic.</t>
        </is>
      </c>
    </row>
    <row r="84">
      <c r="A84" s="6" t="inlineStr">
        <is>
          <t>5</t>
        </is>
      </c>
      <c r="B84" s="6" t="inlineStr">
        <is>
          <t>P5300</t>
        </is>
      </c>
      <c r="C84" s="6" t="inlineStr">
        <is>
          <t>Activity</t>
        </is>
      </c>
      <c r="D84" s="6" t="inlineStr">
        <is>
          <t>Testing and commissioning package - inspect / closeout</t>
        </is>
      </c>
      <c r="E84" s="6" t="inlineStr">
        <is>
          <t>P5200</t>
        </is>
      </c>
      <c r="F84" s="9" t="n">
        <v>1</v>
      </c>
      <c r="G84" s="6" t="inlineStr">
        <is>
          <t>Yes</t>
        </is>
      </c>
      <c r="H84"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Life Sciences Manufacturing Campus on headline progress alone.
The programme should be governed through CQV execution, GMP readiness, validation closure and regulatory inspection evidence. Current confidence (60%)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Facility construction and equipment installation are progressing.
CASEY view:
Validated GMP readiness, CQV closure and regulatory evidence govern usable production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validation package breaks first?
2. Is GMP turnover evidenced or assumed?
3. What inspection-readiness gate is not closed?
4. Where does commissioning overlap threaten deviation closure?
5. Can production readiness survive accelerated handover?</t>
        </is>
      </c>
    </row>
    <row r="5">
      <c r="A5" s="17" t="inlineStr">
        <is>
          <t>What The Board Is Really Deciding</t>
        </is>
      </c>
      <c r="B5" s="17" t="inlineStr">
        <is>
          <t>WHAT THE BOARD IS REALLY DECIDING
The board is not simply approving cost and schedule.
The board is accepting:
- exposure to CQV execution, GMP readiness, validation closure and regulatory inspection evidence
- the current evidence maturity position
- whether reserve is credible against P80/P90 behaviour
- whether management can recover if the governing constraint slips
Evidence required before unconditional approval:
- CQV execution plan
- validation master plan
- GMP turnover matrix
- media-fill/qualification evidence
- inspection readiness tracker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"CQV and validation maturity lagged construction completion and regulatory readiness."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CQV execution, GMP readiness, validation closure and regulatory inspection evidence with auditable evidence.
2. Convert the weakest assumption into an owned mitigation with trigger, date, owner and residual exposure.
3. Re-run P80/P90 after evidence closure, not after narrative revision.
Fastest confidence unlock:
Close the first missing evidence item: CQV execution plan.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2026-05-24T16:47:45Z</dcterms:created>
  <dcterms:modified xmlns:dcterms="http://purl.org/dc/terms/" xmlns:xsi="http://www.w3.org/2001/XMLSchema-instance" xsi:type="dcterms:W3CDTF">2026-05-24T16:47:45Z</dcterms:modified>
</cp:coreProperties>
</file>