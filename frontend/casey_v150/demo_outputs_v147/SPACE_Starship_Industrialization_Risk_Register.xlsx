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 Risk Dashboard" sheetId="1" r:id="rId1"/>
    <sheet name="02 Full Risk Register" sheetId="2" r:id="rId2"/>
    <sheet name="03 QCRA Tornado" sheetId="3" r:id="rId3"/>
    <sheet name="04 QSRA Tornado" sheetId="4" r:id="rId4"/>
  </sheets>
  <calcPr calcId="124519" fullCalcOnLoad="1"/>
</workbook>
</file>

<file path=xl/sharedStrings.xml><?xml version="1.0" encoding="utf-8"?>
<sst xmlns="http://schemas.openxmlformats.org/spreadsheetml/2006/main" count="456" uniqueCount="275">
  <si>
    <t>CASEY PLATINUM RISK REGISTER</t>
  </si>
  <si>
    <t>Frontier Space Infrastructure | Base scenario | 23 risks</t>
  </si>
  <si>
    <t>Metric</t>
  </si>
  <si>
    <t>Value</t>
  </si>
  <si>
    <t>Total risks</t>
  </si>
  <si>
    <t>Red risks</t>
  </si>
  <si>
    <t>Amber risks</t>
  </si>
  <si>
    <t>Top QCRA driver</t>
  </si>
  <si>
    <t>Launch manifest delay</t>
  </si>
  <si>
    <t>Top QSRA driver</t>
  </si>
  <si>
    <t>ID</t>
  </si>
  <si>
    <t>Risk</t>
  </si>
  <si>
    <t>Category</t>
  </si>
  <si>
    <t>Likelihood %</t>
  </si>
  <si>
    <t>Cause</t>
  </si>
  <si>
    <t>Risk Event</t>
  </si>
  <si>
    <t>Impact Description</t>
  </si>
  <si>
    <t>Owner</t>
  </si>
  <si>
    <t>Mitigation / Response</t>
  </si>
  <si>
    <t>Trigger</t>
  </si>
  <si>
    <t>Residual</t>
  </si>
  <si>
    <t>Activity</t>
  </si>
  <si>
    <t>Activity Name</t>
  </si>
  <si>
    <t>CBS</t>
  </si>
  <si>
    <t>CBS Name</t>
  </si>
  <si>
    <t>QCRA Mean $B</t>
  </si>
  <si>
    <t>QSRA Mean Days</t>
  </si>
  <si>
    <t>Status</t>
  </si>
  <si>
    <t>R-S01</t>
  </si>
  <si>
    <t>Launch</t>
  </si>
  <si>
    <t>Launch provider capacity, weather windows, manifest priority or vehicle readiness</t>
  </si>
  <si>
    <t>Launch manifest delay occurs or materialises during delivery.</t>
  </si>
  <si>
    <t>Programme delay, storage cost, resequencing and mission-readiness risk</t>
  </si>
  <si>
    <t>Launch Integration Lead</t>
  </si>
  <si>
    <t>Reserve alternate launch slot, freeze payload interface, maintain launch-readiness checklist</t>
  </si>
  <si>
    <t>Launch slot not confirmed at L-12 months</t>
  </si>
  <si>
    <t>Medium</t>
  </si>
  <si>
    <t>A1400</t>
  </si>
  <si>
    <t>Planning, regulatory and stakeholder approvals</t>
  </si>
  <si>
    <t>01.04</t>
  </si>
  <si>
    <t>Power Generation &amp; Distribution</t>
  </si>
  <si>
    <t>Open</t>
  </si>
  <si>
    <t>R-S02</t>
  </si>
  <si>
    <t>Mass growth</t>
  </si>
  <si>
    <t>Technical</t>
  </si>
  <si>
    <t>Design creep, shielding, redundancy or late payload additions increase mass</t>
  </si>
  <si>
    <t>Mass growth occurs or materialises during delivery.</t>
  </si>
  <si>
    <t>Launch cost, redesign, performance loss and mission safety exposure</t>
  </si>
  <si>
    <t>Chief Engineer</t>
  </si>
  <si>
    <t>Mass control board, margin policy, design-to-mass reviews</t>
  </si>
  <si>
    <t>Mass margin below 8%</t>
  </si>
  <si>
    <t>A1500</t>
  </si>
  <si>
    <t>Procurement strategy and tender packaging</t>
  </si>
  <si>
    <t>01.05</t>
  </si>
  <si>
    <t>ECLSS / Life Support</t>
  </si>
  <si>
    <t>R-S03</t>
  </si>
  <si>
    <t>Life-support reliability</t>
  </si>
  <si>
    <t>Safety / Mission</t>
  </si>
  <si>
    <t>ECLSS reliability, spares or redundancy evidence below target</t>
  </si>
  <si>
    <t>Life-support reliability occurs or materialises during delivery.</t>
  </si>
  <si>
    <t>Crew safety exposure, launch delay, redesign and mission abort risk</t>
  </si>
  <si>
    <t>Life Support Lead</t>
  </si>
  <si>
    <t>Prototype testing, redundancy, reliability growth, independent assurance</t>
  </si>
  <si>
    <t>Reliability growth misses target</t>
  </si>
  <si>
    <t>A1600</t>
  </si>
  <si>
    <t>Detailed design / IFC development</t>
  </si>
  <si>
    <t>01.06</t>
  </si>
  <si>
    <t>Payload / Mission Equipment</t>
  </si>
  <si>
    <t>R-002</t>
  </si>
  <si>
    <t>Market escalation</t>
  </si>
  <si>
    <t>Commercial</t>
  </si>
  <si>
    <t>Supplier market tightness, inflation, FX and long procurement window</t>
  </si>
  <si>
    <t>Market escalation occurs or materialises during delivery.</t>
  </si>
  <si>
    <t>P50 cost becomes understated; commercial approvals or procurement strategy may need reset</t>
  </si>
  <si>
    <t>Commercial Lead</t>
  </si>
  <si>
    <t>Early procurement, index-linked allowances, market testing, FX strategy</t>
  </si>
  <si>
    <t>Index exceeds allowance by 3%</t>
  </si>
  <si>
    <t>A1800</t>
  </si>
  <si>
    <t>Site / launch integration readiness</t>
  </si>
  <si>
    <t>01.08</t>
  </si>
  <si>
    <t>Launch Services</t>
  </si>
  <si>
    <t>R-004</t>
  </si>
  <si>
    <t>Design maturity gap</t>
  </si>
  <si>
    <t>Estimate is based on immature design, incomplete surveys or unresolved interfaces</t>
  </si>
  <si>
    <t>Design maturity gap occurs or materialises during delivery.</t>
  </si>
  <si>
    <t>Cost growth, quantity movement, rework and schedule resequencing</t>
  </si>
  <si>
    <t>Design Manager</t>
  </si>
  <si>
    <t>Design maturity gates, independent review, assumption register</t>
  </si>
  <si>
    <t>Design deliverables miss maturity gate</t>
  </si>
  <si>
    <t>A2000</t>
  </si>
  <si>
    <t>Systems integration and testing</t>
  </si>
  <si>
    <t>02.01</t>
  </si>
  <si>
    <t>Test &amp; Qualification Facilities</t>
  </si>
  <si>
    <t>R-001</t>
  </si>
  <si>
    <t>Scope growth</t>
  </si>
  <si>
    <t>Scope</t>
  </si>
  <si>
    <t>Ambiguous requirements, immature scope freeze and late stakeholder changes</t>
  </si>
  <si>
    <t>Scope growth occurs or materialises during delivery.</t>
  </si>
  <si>
    <t>Additional quantities, redesign, rework, procurement churn and board contingency drawdown</t>
  </si>
  <si>
    <t>Project Director</t>
  </si>
  <si>
    <t>Freeze scope baseline, change board, value gates, client decision log</t>
  </si>
  <si>
    <t>Scope change rate exceeds 2% of package value</t>
  </si>
  <si>
    <t>A1700</t>
  </si>
  <si>
    <t>Long-lead procurement</t>
  </si>
  <si>
    <t>01.07</t>
  </si>
  <si>
    <t>Robotics / Autonomous Construction</t>
  </si>
  <si>
    <t>R-006</t>
  </si>
  <si>
    <t>Productivity underperformance</t>
  </si>
  <si>
    <t>Delivery</t>
  </si>
  <si>
    <t>Access constraints, poor sequencing, labour scarcity or learning curve</t>
  </si>
  <si>
    <t>Productivity underperformance occurs or materialises during delivery.</t>
  </si>
  <si>
    <t>Extended duration, increased preliminaries and loss of float</t>
  </si>
  <si>
    <t>Delivery Lead</t>
  </si>
  <si>
    <t>Package productivity controls, daily planning, earned value cadence</t>
  </si>
  <si>
    <t>SPI/CPI deteriorates for two reporting periods</t>
  </si>
  <si>
    <t>P1000</t>
  </si>
  <si>
    <t>Launch campaign</t>
  </si>
  <si>
    <t>02.03</t>
  </si>
  <si>
    <t>Programme Management / PMO</t>
  </si>
  <si>
    <t>R-005</t>
  </si>
  <si>
    <t>Supply chain delay</t>
  </si>
  <si>
    <t>Procurement</t>
  </si>
  <si>
    <t>Long-lead equipment, constrained suppliers or late procurement release</t>
  </si>
  <si>
    <t>Supply chain delay occurs or materialises during delivery.</t>
  </si>
  <si>
    <t>Delayed installation, critical path movement and acceleration cost</t>
  </si>
  <si>
    <t>Procurement Lead</t>
  </si>
  <si>
    <t>Alternate suppliers, early orders, expediting, framework options</t>
  </si>
  <si>
    <t>Supplier promise date slips</t>
  </si>
  <si>
    <t>A2100</t>
  </si>
  <si>
    <t>Commissioning, operations readiness and closeout</t>
  </si>
  <si>
    <t>02.02</t>
  </si>
  <si>
    <t>Safety &amp; Mission Assurance</t>
  </si>
  <si>
    <t>R-008</t>
  </si>
  <si>
    <t>Interface misalignment</t>
  </si>
  <si>
    <t>Integration</t>
  </si>
  <si>
    <t>Multiple contractors, unclear interface ownership or late design coordination</t>
  </si>
  <si>
    <t>Interface misalignment occurs or materialises during delivery.</t>
  </si>
  <si>
    <t>Rework, claims, delay and fragmented accountability</t>
  </si>
  <si>
    <t>Integration Manager</t>
  </si>
  <si>
    <t>Interface control documents, weekly interface board, accountable owners</t>
  </si>
  <si>
    <t>Interface actions overdue</t>
  </si>
  <si>
    <t>P3000</t>
  </si>
  <si>
    <t>Power and ECLSS</t>
  </si>
  <si>
    <t>03.02</t>
  </si>
  <si>
    <t>Management Reserve</t>
  </si>
  <si>
    <t>R-007</t>
  </si>
  <si>
    <t>Commissioning delay</t>
  </si>
  <si>
    <t>Handover</t>
  </si>
  <si>
    <t>Incomplete readiness, software integration issues or defects during testing</t>
  </si>
  <si>
    <t>Commissioning delay occurs or materialises during delivery.</t>
  </si>
  <si>
    <t>Delayed handover, operational readiness slippage and liquidated damages exposure</t>
  </si>
  <si>
    <t>Commissioning Lead</t>
  </si>
  <si>
    <t>Commissioning readiness plan, early test packs, digital systems integration</t>
  </si>
  <si>
    <t>Test failures trend upward</t>
  </si>
  <si>
    <t>P2000</t>
  </si>
  <si>
    <t>Payload integration</t>
  </si>
  <si>
    <t>03.01</t>
  </si>
  <si>
    <t>Risk Contingency / UFE</t>
  </si>
  <si>
    <t>R-003</t>
  </si>
  <si>
    <t>Permits / approvals delay</t>
  </si>
  <si>
    <t>Regulatory</t>
  </si>
  <si>
    <t>Authority process, stakeholder objections or incomplete submissions</t>
  </si>
  <si>
    <t>Permits / approvals delay occurs or materialises during delivery.</t>
  </si>
  <si>
    <t>Critical path delay, extended preliminaries and potential redesign conditions</t>
  </si>
  <si>
    <t>Consents Lead</t>
  </si>
  <si>
    <t>Authority plan, consent tracker, early submissions, stakeholder map</t>
  </si>
  <si>
    <t>Consent milestone slips by 30 days</t>
  </si>
  <si>
    <t>A1900</t>
  </si>
  <si>
    <t>Main construction / fabrication / assembly</t>
  </si>
  <si>
    <t>01.09</t>
  </si>
  <si>
    <t>Transport / Landing / Surface Logistics</t>
  </si>
  <si>
    <t>R-014</t>
  </si>
  <si>
    <t>Stakeholder change</t>
  </si>
  <si>
    <t>Sponsor, operator or authority requirements evolve late</t>
  </si>
  <si>
    <t>Requirements change after baseline freeze</t>
  </si>
  <si>
    <t>Scope growth, redesign and approval delays</t>
  </si>
  <si>
    <t>Decision log, change board and stakeholder gates</t>
  </si>
  <si>
    <t>Late decision count increases</t>
  </si>
  <si>
    <t>Amber</t>
  </si>
  <si>
    <t>Linked schedule activity</t>
  </si>
  <si>
    <t>Linked cost package</t>
  </si>
  <si>
    <t>R-S05</t>
  </si>
  <si>
    <t>Thermal / radiation design margin</t>
  </si>
  <si>
    <t>Environment and shielding assumptions remain immature</t>
  </si>
  <si>
    <t>Thermal or radiation margins fail review</t>
  </si>
  <si>
    <t>Redesign, extra mass and launch cost increase</t>
  </si>
  <si>
    <t>Thermal vacuum testing and radiation analysis</t>
  </si>
  <si>
    <t>Margin below threshold</t>
  </si>
  <si>
    <t>Red</t>
  </si>
  <si>
    <t>01.03</t>
  </si>
  <si>
    <t>R-013</t>
  </si>
  <si>
    <t>Weather / environmental disruption</t>
  </si>
  <si>
    <t>Extreme weather, environmental windows or site constraints not fully allowed</t>
  </si>
  <si>
    <t>Workface access or productivity is disrupted</t>
  </si>
  <si>
    <t>Delay, access cost and resequencing</t>
  </si>
  <si>
    <t>Construction Manager</t>
  </si>
  <si>
    <t>Weather calendars, contingency workfronts, protection strategy</t>
  </si>
  <si>
    <t>Weather downtime exceeds allowance</t>
  </si>
  <si>
    <t>R-S04</t>
  </si>
  <si>
    <t>Launch window dependency</t>
  </si>
  <si>
    <t>Orbital mechanics or launch provider availability constrains deployment</t>
  </si>
  <si>
    <t>Launch window missed</t>
  </si>
  <si>
    <t>Months of delay and re-manifest cost</t>
  </si>
  <si>
    <t>Mission Lead</t>
  </si>
  <si>
    <t>Backup launch windows and manifest options</t>
  </si>
  <si>
    <t>Launch readiness slips</t>
  </si>
  <si>
    <t>01.02</t>
  </si>
  <si>
    <t>R-018</t>
  </si>
  <si>
    <t>Interface ownership gap</t>
  </si>
  <si>
    <t>RACI and package boundaries are unclear across packages</t>
  </si>
  <si>
    <t>Interface issue has no accountable owner</t>
  </si>
  <si>
    <t>Delay, claims and fragmented accountability</t>
  </si>
  <si>
    <t>Interface control documents and owner matrix</t>
  </si>
  <si>
    <t>R-012</t>
  </si>
  <si>
    <t>Cyber / controls integration</t>
  </si>
  <si>
    <t>Operational technology, control systems and network interfaces immature</t>
  </si>
  <si>
    <t>Controls integration fails testing</t>
  </si>
  <si>
    <t>Commissioning delay, resilience issue and operational risk</t>
  </si>
  <si>
    <t>Systems Lead</t>
  </si>
  <si>
    <t>Early cyber review, FAT/SAT plan, integration lab</t>
  </si>
  <si>
    <t>Controls defect trend increases</t>
  </si>
  <si>
    <t>R-009</t>
  </si>
  <si>
    <t>Commercial claims escalation</t>
  </si>
  <si>
    <t>Contract ambiguity, change volume and interface disputes</t>
  </si>
  <si>
    <t>Claims submitted above allowance</t>
  </si>
  <si>
    <t>Commercial pressure, management distraction and increased outturn cost</t>
  </si>
  <si>
    <t>Tight change control, entitlement reviews, dispute avoidance board</t>
  </si>
  <si>
    <t>Claim volume exceeds baseline</t>
  </si>
  <si>
    <t>Green</t>
  </si>
  <si>
    <t>R-017</t>
  </si>
  <si>
    <t>Data / estimate basis weakness</t>
  </si>
  <si>
    <t>Estimate source data, quantities or benchmarks are incomplete</t>
  </si>
  <si>
    <t>Baseline cannot be defended under challenge</t>
  </si>
  <si>
    <t>Confidence reduction and rework of cost plan</t>
  </si>
  <si>
    <t>Cost Lead</t>
  </si>
  <si>
    <t>Assumption register, benchmark evidence, quantity validation</t>
  </si>
  <si>
    <t>Unknown allowance exceeds threshold</t>
  </si>
  <si>
    <t>01.01</t>
  </si>
  <si>
    <t>R-011</t>
  </si>
  <si>
    <t>Quality failure / rework</t>
  </si>
  <si>
    <t>Installation quality, vendor QA or inspection regime below need</t>
  </si>
  <si>
    <t>Inspection failure triggers rework</t>
  </si>
  <si>
    <t>Rework cost, schedule delay and confidence loss</t>
  </si>
  <si>
    <t>Quality Manager</t>
  </si>
  <si>
    <t>ITPs, hold points, vendor QA, right-first-time reviews</t>
  </si>
  <si>
    <t>NCR trend increases</t>
  </si>
  <si>
    <t>R-015</t>
  </si>
  <si>
    <t>Funding / approval gate delay</t>
  </si>
  <si>
    <t>Investment approvals or staged funding gates not aligned with procurement</t>
  </si>
  <si>
    <t>Capital release is delayed</t>
  </si>
  <si>
    <t>Procurement missed windows and schedule slippage</t>
  </si>
  <si>
    <t>Sponsor</t>
  </si>
  <si>
    <t>Approval roadmap, early board papers, contingency approvals</t>
  </si>
  <si>
    <t>Approval date slips</t>
  </si>
  <si>
    <t>01.10</t>
  </si>
  <si>
    <t>R-016</t>
  </si>
  <si>
    <t>Commissioning readiness gap</t>
  </si>
  <si>
    <t>Incomplete test packs, operational readiness or training gaps</t>
  </si>
  <si>
    <t>Commissioning starts without readiness</t>
  </si>
  <si>
    <t>Repeated tests, handover delay and operational risk</t>
  </si>
  <si>
    <t>Readiness dashboard, integrated test plan, early ORAT</t>
  </si>
  <si>
    <t>Readiness score below threshold</t>
  </si>
  <si>
    <t>01.11</t>
  </si>
  <si>
    <t>R-010</t>
  </si>
  <si>
    <t>Resource availability</t>
  </si>
  <si>
    <t>Labour, specialist supervisors or commissioning teams constrained</t>
  </si>
  <si>
    <t>Required resources are unavailable when planned</t>
  </si>
  <si>
    <t>Productivity loss, resequencing and higher preliminaries</t>
  </si>
  <si>
    <t>Resource loading, framework call-offs, labour strategy</t>
  </si>
  <si>
    <t>Resource histogram red flag</t>
  </si>
  <si>
    <t>Rank</t>
  </si>
  <si>
    <t>Driver</t>
  </si>
  <si>
    <t>Mean Cost $B</t>
  </si>
  <si>
    <t>Action</t>
  </si>
  <si>
    <t>Mean Days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</si>
</sst>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$#,##0.0B"/>
  </numFmts>
  <fonts count="4">
    <font>
      <sz val="11"/>
      <color theme="1"/>
      <name val="Calibri"/>
      <family val="2"/>
      <scheme val="minor"/>
    </font>
    <font>
      <b/>
      <sz val="20"/>
      <color rgb="FF0B1F33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3">
    <dxf>
      <fill>
        <patternFill>
          <bgColor rgb="FFFCE4D6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FFF2CC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E2F0D9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QCRA Cost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Cost $B</c:v>
          </c:tx>
          <c:cat>
            <c:strRef>
              <c:f>'03 QCRA Tornado'!$B$6:$B$17</c:f>
              <c:strCache>
                <c:ptCount val="12"/>
                <c:pt idx="0">
                  <c:v>Launch manifest delay</c:v>
                </c:pt>
                <c:pt idx="1">
                  <c:v>Mass growth</c:v>
                </c:pt>
                <c:pt idx="2">
                  <c:v>Life-support reliability</c:v>
                </c:pt>
                <c:pt idx="3">
                  <c:v>Market escalation</c:v>
                </c:pt>
                <c:pt idx="4">
                  <c:v>Design maturity gap</c:v>
                </c:pt>
                <c:pt idx="5">
                  <c:v>Scope growth</c:v>
                </c:pt>
                <c:pt idx="6">
                  <c:v>Productivity underperformance</c:v>
                </c:pt>
                <c:pt idx="7">
                  <c:v>Supply chain delay</c:v>
                </c:pt>
                <c:pt idx="8">
                  <c:v>Interface misalignment</c:v>
                </c:pt>
                <c:pt idx="9">
                  <c:v>Commissioning delay</c:v>
                </c:pt>
                <c:pt idx="10">
                  <c:v>Permits / approvals delay</c:v>
                </c:pt>
                <c:pt idx="11">
                  <c:v>Stakeholder change</c:v>
                </c:pt>
              </c:strCache>
            </c:strRef>
          </c:cat>
          <c:val>
            <c:numRef>
              <c:f>'03 QCRA Tornado'!$D$6:$D$17</c:f>
              <c:numCache>
                <c:formatCode>General</c:formatCode>
                <c:ptCount val="12"/>
                <c:pt idx="0">
                  <c:v>2.883</c:v>
                </c:pt>
                <c:pt idx="1">
                  <c:v>2.883</c:v>
                </c:pt>
                <c:pt idx="2">
                  <c:v>2.873</c:v>
                </c:pt>
                <c:pt idx="3">
                  <c:v>2.268</c:v>
                </c:pt>
                <c:pt idx="4">
                  <c:v>1.724</c:v>
                </c:pt>
                <c:pt idx="5">
                  <c:v>1.693</c:v>
                </c:pt>
                <c:pt idx="6">
                  <c:v>1.411</c:v>
                </c:pt>
                <c:pt idx="7">
                  <c:v>1.411</c:v>
                </c:pt>
                <c:pt idx="8">
                  <c:v>1.2</c:v>
                </c:pt>
                <c:pt idx="9">
                  <c:v>0.968</c:v>
                </c:pt>
                <c:pt idx="10">
                  <c:v>0.706</c:v>
                </c:pt>
                <c:pt idx="11">
                  <c:v>0.466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QSRA Schedule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Days</c:v>
          </c:tx>
          <c:cat>
            <c:strRef>
              <c:f>'04 QSRA Tornado'!$B$6:$B$17</c:f>
              <c:strCache>
                <c:ptCount val="12"/>
                <c:pt idx="0">
                  <c:v>Launch manifest delay</c:v>
                </c:pt>
                <c:pt idx="1">
                  <c:v>Life-support reliability</c:v>
                </c:pt>
                <c:pt idx="2">
                  <c:v>Funding / approval gate delay</c:v>
                </c:pt>
                <c:pt idx="3">
                  <c:v>Cyber / controls integration</c:v>
                </c:pt>
                <c:pt idx="4">
                  <c:v>Permits / approvals delay</c:v>
                </c:pt>
                <c:pt idx="5">
                  <c:v>Mass growth</c:v>
                </c:pt>
                <c:pt idx="6">
                  <c:v>Thermal / radiation design margin</c:v>
                </c:pt>
                <c:pt idx="7">
                  <c:v>Interface ownership gap</c:v>
                </c:pt>
                <c:pt idx="8">
                  <c:v>Stakeholder change</c:v>
                </c:pt>
                <c:pt idx="9">
                  <c:v>Quality failure / rework</c:v>
                </c:pt>
                <c:pt idx="10">
                  <c:v>Scope growth</c:v>
                </c:pt>
                <c:pt idx="11">
                  <c:v>Launch window dependency</c:v>
                </c:pt>
              </c:strCache>
            </c:strRef>
          </c:cat>
          <c:val>
            <c:numRef>
              <c:f>'04 QSRA Tornado'!$D$6:$D$17</c:f>
              <c:numCache>
                <c:formatCode>General</c:formatCode>
                <c:ptCount val="12"/>
                <c:pt idx="0">
                  <c:v>31.2</c:v>
                </c:pt>
                <c:pt idx="1">
                  <c:v>30.4</c:v>
                </c:pt>
                <c:pt idx="2">
                  <c:v>25.2</c:v>
                </c:pt>
                <c:pt idx="3">
                  <c:v>24.7</c:v>
                </c:pt>
                <c:pt idx="4">
                  <c:v>24.5</c:v>
                </c:pt>
                <c:pt idx="5">
                  <c:v>24.2</c:v>
                </c:pt>
                <c:pt idx="6">
                  <c:v>22.4</c:v>
                </c:pt>
                <c:pt idx="7">
                  <c:v>21.8</c:v>
                </c:pt>
                <c:pt idx="8">
                  <c:v>20.5</c:v>
                </c:pt>
                <c:pt idx="9">
                  <c:v>20</c:v>
                </c:pt>
                <c:pt idx="10">
                  <c:v>18.9</c:v>
                </c:pt>
                <c:pt idx="11">
                  <c:v>17.9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showGridLines="0" tabSelected="1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24.7109375" customWidth="1"/>
    <col min="2" max="2" width="4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5" spans="1:8">
      <c r="A5" s="3" t="s">
        <v>2</v>
      </c>
      <c r="B5" s="3" t="s">
        <v>3</v>
      </c>
    </row>
    <row r="6" spans="1:8">
      <c r="A6" s="4" t="s">
        <v>4</v>
      </c>
      <c r="B6" s="4">
        <v>23</v>
      </c>
    </row>
    <row r="7" spans="1:8">
      <c r="A7" s="4" t="s">
        <v>5</v>
      </c>
      <c r="B7" s="4">
        <v>2</v>
      </c>
    </row>
    <row r="8" spans="1:8">
      <c r="A8" s="4" t="s">
        <v>6</v>
      </c>
      <c r="B8" s="4">
        <v>8</v>
      </c>
    </row>
    <row r="9" spans="1:8">
      <c r="A9" s="4" t="s">
        <v>7</v>
      </c>
      <c r="B9" s="4" t="s">
        <v>8</v>
      </c>
    </row>
    <row r="10" spans="1:8">
      <c r="A10" s="4" t="s">
        <v>9</v>
      </c>
      <c r="B10" s="4" t="s">
        <v>8</v>
      </c>
    </row>
  </sheetData>
  <mergeCells count="2">
    <mergeCell ref="A1:H1"/>
    <mergeCell ref="A2:H2"/>
  </mergeCells>
  <pageMargins left="0.3" right="0.3" top="0.4" bottom="0.4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5:R28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5.7109375" customWidth="1"/>
    <col min="3" max="3" width="14.7109375" customWidth="1"/>
    <col min="4" max="4" width="13.7109375" customWidth="1"/>
    <col min="5" max="6" width="36.7109375" customWidth="1"/>
    <col min="7" max="7" width="44.7109375" customWidth="1"/>
    <col min="8" max="8" width="18.7109375" customWidth="1"/>
    <col min="9" max="9" width="42.7109375" customWidth="1"/>
    <col min="10" max="10" width="30.7109375" customWidth="1"/>
    <col min="11" max="12" width="12.7109375" customWidth="1"/>
    <col min="13" max="13" width="24.7109375" customWidth="1"/>
    <col min="14" max="14" width="10.7109375" customWidth="1"/>
    <col min="15" max="15" width="24.7109375" customWidth="1"/>
    <col min="16" max="17" width="14.7109375" customWidth="1"/>
    <col min="18" max="18" width="12.7109375" customWidth="1"/>
  </cols>
  <sheetData>
    <row r="5" spans="1:18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  <c r="N5" s="3" t="s">
        <v>23</v>
      </c>
      <c r="O5" s="3" t="s">
        <v>24</v>
      </c>
      <c r="P5" s="3" t="s">
        <v>25</v>
      </c>
      <c r="Q5" s="3" t="s">
        <v>26</v>
      </c>
      <c r="R5" s="3" t="s">
        <v>27</v>
      </c>
    </row>
    <row r="6" spans="1:18">
      <c r="A6" s="4" t="s">
        <v>28</v>
      </c>
      <c r="B6" s="4" t="s">
        <v>8</v>
      </c>
      <c r="C6" s="4" t="s">
        <v>29</v>
      </c>
      <c r="D6" s="5">
        <v>52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  <c r="J6" s="4" t="s">
        <v>35</v>
      </c>
      <c r="K6" s="4" t="s">
        <v>36</v>
      </c>
      <c r="L6" s="4" t="s">
        <v>37</v>
      </c>
      <c r="M6" s="4" t="s">
        <v>38</v>
      </c>
      <c r="N6" s="4" t="s">
        <v>39</v>
      </c>
      <c r="O6" s="4" t="s">
        <v>40</v>
      </c>
      <c r="P6" s="6">
        <v>2.883</v>
      </c>
      <c r="Q6" s="5">
        <v>31.2</v>
      </c>
      <c r="R6" s="4" t="s">
        <v>41</v>
      </c>
    </row>
    <row r="7" spans="1:18">
      <c r="A7" s="4" t="s">
        <v>42</v>
      </c>
      <c r="B7" s="4" t="s">
        <v>43</v>
      </c>
      <c r="C7" s="4" t="s">
        <v>44</v>
      </c>
      <c r="D7" s="5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49</v>
      </c>
      <c r="J7" s="4" t="s">
        <v>50</v>
      </c>
      <c r="K7" s="4" t="s">
        <v>36</v>
      </c>
      <c r="L7" s="4" t="s">
        <v>51</v>
      </c>
      <c r="M7" s="4" t="s">
        <v>52</v>
      </c>
      <c r="N7" s="4" t="s">
        <v>53</v>
      </c>
      <c r="O7" s="4" t="s">
        <v>54</v>
      </c>
      <c r="P7" s="6">
        <v>2.883</v>
      </c>
      <c r="Q7" s="5">
        <v>24.2</v>
      </c>
      <c r="R7" s="4" t="s">
        <v>41</v>
      </c>
    </row>
    <row r="8" spans="1:18">
      <c r="A8" s="4" t="s">
        <v>55</v>
      </c>
      <c r="B8" s="4" t="s">
        <v>56</v>
      </c>
      <c r="C8" s="4" t="s">
        <v>57</v>
      </c>
      <c r="D8" s="5">
        <v>38</v>
      </c>
      <c r="E8" s="4" t="s">
        <v>58</v>
      </c>
      <c r="F8" s="4" t="s">
        <v>59</v>
      </c>
      <c r="G8" s="4" t="s">
        <v>60</v>
      </c>
      <c r="H8" s="4" t="s">
        <v>61</v>
      </c>
      <c r="I8" s="4" t="s">
        <v>62</v>
      </c>
      <c r="J8" s="4" t="s">
        <v>63</v>
      </c>
      <c r="K8" s="4" t="s">
        <v>36</v>
      </c>
      <c r="L8" s="4" t="s">
        <v>64</v>
      </c>
      <c r="M8" s="4" t="s">
        <v>65</v>
      </c>
      <c r="N8" s="4" t="s">
        <v>66</v>
      </c>
      <c r="O8" s="4" t="s">
        <v>67</v>
      </c>
      <c r="P8" s="6">
        <v>2.873</v>
      </c>
      <c r="Q8" s="5">
        <v>30.4</v>
      </c>
      <c r="R8" s="4" t="s">
        <v>41</v>
      </c>
    </row>
    <row r="9" spans="1:18">
      <c r="A9" s="4" t="s">
        <v>68</v>
      </c>
      <c r="B9" s="4" t="s">
        <v>69</v>
      </c>
      <c r="C9" s="4" t="s">
        <v>70</v>
      </c>
      <c r="D9" s="5">
        <v>45</v>
      </c>
      <c r="E9" s="4" t="s">
        <v>71</v>
      </c>
      <c r="F9" s="4" t="s">
        <v>72</v>
      </c>
      <c r="G9" s="4" t="s">
        <v>73</v>
      </c>
      <c r="H9" s="4" t="s">
        <v>74</v>
      </c>
      <c r="I9" s="4" t="s">
        <v>75</v>
      </c>
      <c r="J9" s="4" t="s">
        <v>76</v>
      </c>
      <c r="K9" s="4" t="s">
        <v>36</v>
      </c>
      <c r="L9" s="4" t="s">
        <v>77</v>
      </c>
      <c r="M9" s="4" t="s">
        <v>78</v>
      </c>
      <c r="N9" s="4" t="s">
        <v>79</v>
      </c>
      <c r="O9" s="4" t="s">
        <v>80</v>
      </c>
      <c r="P9" s="6">
        <v>2.268</v>
      </c>
      <c r="Q9" s="5">
        <v>0.1</v>
      </c>
      <c r="R9" s="4" t="s">
        <v>41</v>
      </c>
    </row>
    <row r="10" spans="1:18">
      <c r="A10" s="4" t="s">
        <v>81</v>
      </c>
      <c r="B10" s="4" t="s">
        <v>82</v>
      </c>
      <c r="C10" s="4" t="s">
        <v>44</v>
      </c>
      <c r="D10" s="5">
        <v>38</v>
      </c>
      <c r="E10" s="4" t="s">
        <v>83</v>
      </c>
      <c r="F10" s="4" t="s">
        <v>84</v>
      </c>
      <c r="G10" s="4" t="s">
        <v>85</v>
      </c>
      <c r="H10" s="4" t="s">
        <v>86</v>
      </c>
      <c r="I10" s="4" t="s">
        <v>87</v>
      </c>
      <c r="J10" s="4" t="s">
        <v>88</v>
      </c>
      <c r="K10" s="4" t="s">
        <v>36</v>
      </c>
      <c r="L10" s="4" t="s">
        <v>89</v>
      </c>
      <c r="M10" s="4" t="s">
        <v>90</v>
      </c>
      <c r="N10" s="4" t="s">
        <v>91</v>
      </c>
      <c r="O10" s="4" t="s">
        <v>92</v>
      </c>
      <c r="P10" s="6">
        <v>1.724</v>
      </c>
      <c r="Q10" s="5">
        <v>17.1</v>
      </c>
      <c r="R10" s="4" t="s">
        <v>41</v>
      </c>
    </row>
    <row r="11" spans="1:18">
      <c r="A11" s="4" t="s">
        <v>93</v>
      </c>
      <c r="B11" s="4" t="s">
        <v>94</v>
      </c>
      <c r="C11" s="4" t="s">
        <v>95</v>
      </c>
      <c r="D11" s="5">
        <v>42</v>
      </c>
      <c r="E11" s="4" t="s">
        <v>96</v>
      </c>
      <c r="F11" s="4" t="s">
        <v>97</v>
      </c>
      <c r="G11" s="4" t="s">
        <v>98</v>
      </c>
      <c r="H11" s="4" t="s">
        <v>99</v>
      </c>
      <c r="I11" s="4" t="s">
        <v>100</v>
      </c>
      <c r="J11" s="4" t="s">
        <v>101</v>
      </c>
      <c r="K11" s="4" t="s">
        <v>36</v>
      </c>
      <c r="L11" s="4" t="s">
        <v>102</v>
      </c>
      <c r="M11" s="4" t="s">
        <v>103</v>
      </c>
      <c r="N11" s="4" t="s">
        <v>104</v>
      </c>
      <c r="O11" s="4" t="s">
        <v>105</v>
      </c>
      <c r="P11" s="6">
        <v>1.693</v>
      </c>
      <c r="Q11" s="5">
        <v>18.9</v>
      </c>
      <c r="R11" s="4" t="s">
        <v>41</v>
      </c>
    </row>
    <row r="12" spans="1:18">
      <c r="A12" s="4" t="s">
        <v>106</v>
      </c>
      <c r="B12" s="4" t="s">
        <v>107</v>
      </c>
      <c r="C12" s="4" t="s">
        <v>108</v>
      </c>
      <c r="D12" s="5">
        <v>35</v>
      </c>
      <c r="E12" s="4" t="s">
        <v>109</v>
      </c>
      <c r="F12" s="4" t="s">
        <v>110</v>
      </c>
      <c r="G12" s="4" t="s">
        <v>111</v>
      </c>
      <c r="H12" s="4" t="s">
        <v>112</v>
      </c>
      <c r="I12" s="4" t="s">
        <v>113</v>
      </c>
      <c r="J12" s="4" t="s">
        <v>114</v>
      </c>
      <c r="K12" s="4" t="s">
        <v>36</v>
      </c>
      <c r="L12" s="4" t="s">
        <v>115</v>
      </c>
      <c r="M12" s="4" t="s">
        <v>116</v>
      </c>
      <c r="N12" s="4" t="s">
        <v>117</v>
      </c>
      <c r="O12" s="4" t="s">
        <v>118</v>
      </c>
      <c r="P12" s="6">
        <v>1.411</v>
      </c>
      <c r="Q12" s="5">
        <v>17.5</v>
      </c>
      <c r="R12" s="4" t="s">
        <v>41</v>
      </c>
    </row>
    <row r="13" spans="1:18">
      <c r="A13" s="4" t="s">
        <v>119</v>
      </c>
      <c r="B13" s="4" t="s">
        <v>120</v>
      </c>
      <c r="C13" s="4" t="s">
        <v>121</v>
      </c>
      <c r="D13" s="5">
        <v>40</v>
      </c>
      <c r="E13" s="4" t="s">
        <v>122</v>
      </c>
      <c r="F13" s="4" t="s">
        <v>123</v>
      </c>
      <c r="G13" s="4" t="s">
        <v>124</v>
      </c>
      <c r="H13" s="4" t="s">
        <v>125</v>
      </c>
      <c r="I13" s="4" t="s">
        <v>126</v>
      </c>
      <c r="J13" s="4" t="s">
        <v>127</v>
      </c>
      <c r="K13" s="4" t="s">
        <v>36</v>
      </c>
      <c r="L13" s="4" t="s">
        <v>128</v>
      </c>
      <c r="M13" s="4" t="s">
        <v>129</v>
      </c>
      <c r="N13" s="4" t="s">
        <v>130</v>
      </c>
      <c r="O13" s="4" t="s">
        <v>131</v>
      </c>
      <c r="P13" s="6">
        <v>1.411</v>
      </c>
      <c r="Q13" s="5">
        <v>16</v>
      </c>
      <c r="R13" s="4" t="s">
        <v>41</v>
      </c>
    </row>
    <row r="14" spans="1:18">
      <c r="A14" s="4" t="s">
        <v>132</v>
      </c>
      <c r="B14" s="4" t="s">
        <v>133</v>
      </c>
      <c r="C14" s="4" t="s">
        <v>134</v>
      </c>
      <c r="D14" s="5">
        <v>34</v>
      </c>
      <c r="E14" s="4" t="s">
        <v>135</v>
      </c>
      <c r="F14" s="4" t="s">
        <v>136</v>
      </c>
      <c r="G14" s="4" t="s">
        <v>137</v>
      </c>
      <c r="H14" s="4" t="s">
        <v>138</v>
      </c>
      <c r="I14" s="4" t="s">
        <v>139</v>
      </c>
      <c r="J14" s="4" t="s">
        <v>140</v>
      </c>
      <c r="K14" s="4" t="s">
        <v>36</v>
      </c>
      <c r="L14" s="4" t="s">
        <v>141</v>
      </c>
      <c r="M14" s="4" t="s">
        <v>142</v>
      </c>
      <c r="N14" s="4" t="s">
        <v>143</v>
      </c>
      <c r="O14" s="4" t="s">
        <v>144</v>
      </c>
      <c r="P14" s="6">
        <v>1.2</v>
      </c>
      <c r="Q14" s="5">
        <v>11.9</v>
      </c>
      <c r="R14" s="4" t="s">
        <v>41</v>
      </c>
    </row>
    <row r="15" spans="1:18">
      <c r="A15" s="4" t="s">
        <v>145</v>
      </c>
      <c r="B15" s="4" t="s">
        <v>146</v>
      </c>
      <c r="C15" s="4" t="s">
        <v>147</v>
      </c>
      <c r="D15" s="5">
        <v>32</v>
      </c>
      <c r="E15" s="4" t="s">
        <v>148</v>
      </c>
      <c r="F15" s="4" t="s">
        <v>149</v>
      </c>
      <c r="G15" s="4" t="s">
        <v>150</v>
      </c>
      <c r="H15" s="4" t="s">
        <v>151</v>
      </c>
      <c r="I15" s="4" t="s">
        <v>152</v>
      </c>
      <c r="J15" s="4" t="s">
        <v>153</v>
      </c>
      <c r="K15" s="4" t="s">
        <v>36</v>
      </c>
      <c r="L15" s="4" t="s">
        <v>154</v>
      </c>
      <c r="M15" s="4" t="s">
        <v>155</v>
      </c>
      <c r="N15" s="4" t="s">
        <v>156</v>
      </c>
      <c r="O15" s="4" t="s">
        <v>157</v>
      </c>
      <c r="P15" s="6">
        <v>0.968</v>
      </c>
      <c r="Q15" s="5">
        <v>11.2</v>
      </c>
      <c r="R15" s="4" t="s">
        <v>41</v>
      </c>
    </row>
    <row r="16" spans="1:18">
      <c r="A16" s="4" t="s">
        <v>158</v>
      </c>
      <c r="B16" s="4" t="s">
        <v>159</v>
      </c>
      <c r="C16" s="4" t="s">
        <v>160</v>
      </c>
      <c r="D16" s="5">
        <v>35</v>
      </c>
      <c r="E16" s="4" t="s">
        <v>161</v>
      </c>
      <c r="F16" s="4" t="s">
        <v>162</v>
      </c>
      <c r="G16" s="4" t="s">
        <v>163</v>
      </c>
      <c r="H16" s="4" t="s">
        <v>164</v>
      </c>
      <c r="I16" s="4" t="s">
        <v>165</v>
      </c>
      <c r="J16" s="4" t="s">
        <v>166</v>
      </c>
      <c r="K16" s="4" t="s">
        <v>36</v>
      </c>
      <c r="L16" s="4" t="s">
        <v>167</v>
      </c>
      <c r="M16" s="4" t="s">
        <v>168</v>
      </c>
      <c r="N16" s="4" t="s">
        <v>169</v>
      </c>
      <c r="O16" s="4" t="s">
        <v>170</v>
      </c>
      <c r="P16" s="6">
        <v>0.706</v>
      </c>
      <c r="Q16" s="5">
        <v>24.5</v>
      </c>
      <c r="R16" s="4" t="s">
        <v>41</v>
      </c>
    </row>
    <row r="17" spans="1:18">
      <c r="A17" s="4" t="s">
        <v>171</v>
      </c>
      <c r="B17" s="4" t="s">
        <v>172</v>
      </c>
      <c r="C17" s="4" t="s">
        <v>108</v>
      </c>
      <c r="D17" s="5">
        <v>42</v>
      </c>
      <c r="E17" s="4" t="s">
        <v>173</v>
      </c>
      <c r="F17" s="4" t="s">
        <v>174</v>
      </c>
      <c r="G17" s="4" t="s">
        <v>175</v>
      </c>
      <c r="H17" s="4" t="s">
        <v>99</v>
      </c>
      <c r="I17" s="4" t="s">
        <v>176</v>
      </c>
      <c r="J17" s="4" t="s">
        <v>177</v>
      </c>
      <c r="K17" s="4" t="s">
        <v>178</v>
      </c>
      <c r="L17" s="4" t="s">
        <v>102</v>
      </c>
      <c r="M17" s="4" t="s">
        <v>179</v>
      </c>
      <c r="N17" s="4" t="s">
        <v>169</v>
      </c>
      <c r="O17" s="4" t="s">
        <v>180</v>
      </c>
      <c r="P17" s="6">
        <v>0.466</v>
      </c>
      <c r="Q17" s="5">
        <v>20.5</v>
      </c>
      <c r="R17" s="4" t="s">
        <v>41</v>
      </c>
    </row>
    <row r="18" spans="1:18">
      <c r="A18" s="4" t="s">
        <v>181</v>
      </c>
      <c r="B18" s="4" t="s">
        <v>182</v>
      </c>
      <c r="C18" s="4" t="s">
        <v>108</v>
      </c>
      <c r="D18" s="5">
        <v>46</v>
      </c>
      <c r="E18" s="4" t="s">
        <v>183</v>
      </c>
      <c r="F18" s="4" t="s">
        <v>184</v>
      </c>
      <c r="G18" s="4" t="s">
        <v>185</v>
      </c>
      <c r="H18" s="4" t="s">
        <v>48</v>
      </c>
      <c r="I18" s="4" t="s">
        <v>186</v>
      </c>
      <c r="J18" s="4" t="s">
        <v>187</v>
      </c>
      <c r="K18" s="4" t="s">
        <v>188</v>
      </c>
      <c r="L18" s="4" t="s">
        <v>167</v>
      </c>
      <c r="M18" s="4" t="s">
        <v>179</v>
      </c>
      <c r="N18" s="4" t="s">
        <v>189</v>
      </c>
      <c r="O18" s="4" t="s">
        <v>180</v>
      </c>
      <c r="P18" s="6">
        <v>0.417</v>
      </c>
      <c r="Q18" s="5">
        <v>22.4</v>
      </c>
      <c r="R18" s="4" t="s">
        <v>41</v>
      </c>
    </row>
    <row r="19" spans="1:18">
      <c r="A19" s="4" t="s">
        <v>190</v>
      </c>
      <c r="B19" s="4" t="s">
        <v>191</v>
      </c>
      <c r="C19" s="4" t="s">
        <v>108</v>
      </c>
      <c r="D19" s="5">
        <v>38</v>
      </c>
      <c r="E19" s="4" t="s">
        <v>192</v>
      </c>
      <c r="F19" s="4" t="s">
        <v>193</v>
      </c>
      <c r="G19" s="4" t="s">
        <v>194</v>
      </c>
      <c r="H19" s="4" t="s">
        <v>195</v>
      </c>
      <c r="I19" s="4" t="s">
        <v>196</v>
      </c>
      <c r="J19" s="4" t="s">
        <v>197</v>
      </c>
      <c r="K19" s="4" t="s">
        <v>178</v>
      </c>
      <c r="L19" s="4" t="s">
        <v>64</v>
      </c>
      <c r="M19" s="4" t="s">
        <v>179</v>
      </c>
      <c r="N19" s="4" t="s">
        <v>79</v>
      </c>
      <c r="O19" s="4" t="s">
        <v>180</v>
      </c>
      <c r="P19" s="6">
        <v>0.345</v>
      </c>
      <c r="Q19" s="5">
        <v>16.2</v>
      </c>
      <c r="R19" s="4" t="s">
        <v>41</v>
      </c>
    </row>
    <row r="20" spans="1:18">
      <c r="A20" s="4" t="s">
        <v>198</v>
      </c>
      <c r="B20" s="4" t="s">
        <v>199</v>
      </c>
      <c r="C20" s="4" t="s">
        <v>108</v>
      </c>
      <c r="D20" s="5">
        <v>42</v>
      </c>
      <c r="E20" s="4" t="s">
        <v>200</v>
      </c>
      <c r="F20" s="4" t="s">
        <v>201</v>
      </c>
      <c r="G20" s="4" t="s">
        <v>202</v>
      </c>
      <c r="H20" s="4" t="s">
        <v>203</v>
      </c>
      <c r="I20" s="4" t="s">
        <v>204</v>
      </c>
      <c r="J20" s="4" t="s">
        <v>205</v>
      </c>
      <c r="K20" s="4" t="s">
        <v>178</v>
      </c>
      <c r="L20" s="4" t="s">
        <v>77</v>
      </c>
      <c r="M20" s="4" t="s">
        <v>179</v>
      </c>
      <c r="N20" s="4" t="s">
        <v>206</v>
      </c>
      <c r="O20" s="4" t="s">
        <v>180</v>
      </c>
      <c r="P20" s="6">
        <v>0.296</v>
      </c>
      <c r="Q20" s="5">
        <v>17.9</v>
      </c>
      <c r="R20" s="4" t="s">
        <v>41</v>
      </c>
    </row>
    <row r="21" spans="1:18">
      <c r="A21" s="4" t="s">
        <v>207</v>
      </c>
      <c r="B21" s="4" t="s">
        <v>208</v>
      </c>
      <c r="C21" s="4" t="s">
        <v>108</v>
      </c>
      <c r="D21" s="5">
        <v>30</v>
      </c>
      <c r="E21" s="4" t="s">
        <v>209</v>
      </c>
      <c r="F21" s="4" t="s">
        <v>210</v>
      </c>
      <c r="G21" s="4" t="s">
        <v>211</v>
      </c>
      <c r="H21" s="4" t="s">
        <v>138</v>
      </c>
      <c r="I21" s="4" t="s">
        <v>212</v>
      </c>
      <c r="J21" s="4" t="s">
        <v>140</v>
      </c>
      <c r="K21" s="4" t="s">
        <v>178</v>
      </c>
      <c r="L21" s="4" t="s">
        <v>128</v>
      </c>
      <c r="M21" s="4" t="s">
        <v>179</v>
      </c>
      <c r="N21" s="4" t="s">
        <v>206</v>
      </c>
      <c r="O21" s="4" t="s">
        <v>180</v>
      </c>
      <c r="P21" s="6">
        <v>0.272</v>
      </c>
      <c r="Q21" s="5">
        <v>21.8</v>
      </c>
      <c r="R21" s="4" t="s">
        <v>41</v>
      </c>
    </row>
    <row r="22" spans="1:18">
      <c r="A22" s="4" t="s">
        <v>213</v>
      </c>
      <c r="B22" s="4" t="s">
        <v>214</v>
      </c>
      <c r="C22" s="4" t="s">
        <v>108</v>
      </c>
      <c r="D22" s="5">
        <v>34</v>
      </c>
      <c r="E22" s="4" t="s">
        <v>215</v>
      </c>
      <c r="F22" s="4" t="s">
        <v>216</v>
      </c>
      <c r="G22" s="4" t="s">
        <v>217</v>
      </c>
      <c r="H22" s="4" t="s">
        <v>218</v>
      </c>
      <c r="I22" s="4" t="s">
        <v>219</v>
      </c>
      <c r="J22" s="4" t="s">
        <v>220</v>
      </c>
      <c r="K22" s="4" t="s">
        <v>178</v>
      </c>
      <c r="L22" s="4" t="s">
        <v>51</v>
      </c>
      <c r="M22" s="4" t="s">
        <v>179</v>
      </c>
      <c r="N22" s="4" t="s">
        <v>104</v>
      </c>
      <c r="O22" s="4" t="s">
        <v>180</v>
      </c>
      <c r="P22" s="6">
        <v>0.24</v>
      </c>
      <c r="Q22" s="5">
        <v>24.7</v>
      </c>
      <c r="R22" s="4" t="s">
        <v>41</v>
      </c>
    </row>
    <row r="23" spans="1:18">
      <c r="A23" s="4" t="s">
        <v>221</v>
      </c>
      <c r="B23" s="4" t="s">
        <v>222</v>
      </c>
      <c r="C23" s="4" t="s">
        <v>108</v>
      </c>
      <c r="D23" s="5">
        <v>22</v>
      </c>
      <c r="E23" s="4" t="s">
        <v>223</v>
      </c>
      <c r="F23" s="4" t="s">
        <v>224</v>
      </c>
      <c r="G23" s="4" t="s">
        <v>225</v>
      </c>
      <c r="H23" s="4" t="s">
        <v>74</v>
      </c>
      <c r="I23" s="4" t="s">
        <v>226</v>
      </c>
      <c r="J23" s="4" t="s">
        <v>227</v>
      </c>
      <c r="K23" s="4" t="s">
        <v>228</v>
      </c>
      <c r="L23" s="4" t="s">
        <v>89</v>
      </c>
      <c r="M23" s="4" t="s">
        <v>179</v>
      </c>
      <c r="N23" s="4" t="s">
        <v>39</v>
      </c>
      <c r="O23" s="4" t="s">
        <v>180</v>
      </c>
      <c r="P23" s="6">
        <v>0.244</v>
      </c>
      <c r="Q23" s="5">
        <v>12</v>
      </c>
      <c r="R23" s="4" t="s">
        <v>41</v>
      </c>
    </row>
    <row r="24" spans="1:18">
      <c r="A24" s="4" t="s">
        <v>229</v>
      </c>
      <c r="B24" s="4" t="s">
        <v>230</v>
      </c>
      <c r="C24" s="4" t="s">
        <v>108</v>
      </c>
      <c r="D24" s="5">
        <v>26</v>
      </c>
      <c r="E24" s="4" t="s">
        <v>231</v>
      </c>
      <c r="F24" s="4" t="s">
        <v>232</v>
      </c>
      <c r="G24" s="4" t="s">
        <v>233</v>
      </c>
      <c r="H24" s="4" t="s">
        <v>234</v>
      </c>
      <c r="I24" s="4" t="s">
        <v>235</v>
      </c>
      <c r="J24" s="4" t="s">
        <v>236</v>
      </c>
      <c r="K24" s="4" t="s">
        <v>178</v>
      </c>
      <c r="L24" s="4" t="s">
        <v>89</v>
      </c>
      <c r="M24" s="4" t="s">
        <v>179</v>
      </c>
      <c r="N24" s="4" t="s">
        <v>237</v>
      </c>
      <c r="O24" s="4" t="s">
        <v>180</v>
      </c>
      <c r="P24" s="6">
        <v>0.183</v>
      </c>
      <c r="Q24" s="5">
        <v>17.3</v>
      </c>
      <c r="R24" s="4" t="s">
        <v>41</v>
      </c>
    </row>
    <row r="25" spans="1:18">
      <c r="A25" s="4" t="s">
        <v>238</v>
      </c>
      <c r="B25" s="4" t="s">
        <v>239</v>
      </c>
      <c r="C25" s="4" t="s">
        <v>108</v>
      </c>
      <c r="D25" s="5">
        <v>30</v>
      </c>
      <c r="E25" s="4" t="s">
        <v>240</v>
      </c>
      <c r="F25" s="4" t="s">
        <v>241</v>
      </c>
      <c r="G25" s="4" t="s">
        <v>242</v>
      </c>
      <c r="H25" s="4" t="s">
        <v>243</v>
      </c>
      <c r="I25" s="4" t="s">
        <v>244</v>
      </c>
      <c r="J25" s="4" t="s">
        <v>245</v>
      </c>
      <c r="K25" s="4" t="s">
        <v>178</v>
      </c>
      <c r="L25" s="4" t="s">
        <v>37</v>
      </c>
      <c r="M25" s="4" t="s">
        <v>179</v>
      </c>
      <c r="N25" s="4" t="s">
        <v>66</v>
      </c>
      <c r="O25" s="4" t="s">
        <v>180</v>
      </c>
      <c r="P25" s="6">
        <v>0.151</v>
      </c>
      <c r="Q25" s="5">
        <v>20</v>
      </c>
      <c r="R25" s="4" t="s">
        <v>41</v>
      </c>
    </row>
    <row r="26" spans="1:18">
      <c r="A26" s="4" t="s">
        <v>246</v>
      </c>
      <c r="B26" s="4" t="s">
        <v>247</v>
      </c>
      <c r="C26" s="4" t="s">
        <v>108</v>
      </c>
      <c r="D26" s="5">
        <v>46</v>
      </c>
      <c r="E26" s="4" t="s">
        <v>248</v>
      </c>
      <c r="F26" s="4" t="s">
        <v>249</v>
      </c>
      <c r="G26" s="4" t="s">
        <v>250</v>
      </c>
      <c r="H26" s="4" t="s">
        <v>251</v>
      </c>
      <c r="I26" s="4" t="s">
        <v>252</v>
      </c>
      <c r="J26" s="4" t="s">
        <v>253</v>
      </c>
      <c r="K26" s="4" t="s">
        <v>188</v>
      </c>
      <c r="L26" s="4" t="s">
        <v>77</v>
      </c>
      <c r="M26" s="4" t="s">
        <v>179</v>
      </c>
      <c r="N26" s="4" t="s">
        <v>254</v>
      </c>
      <c r="O26" s="4" t="s">
        <v>180</v>
      </c>
      <c r="P26" s="6">
        <v>0.139</v>
      </c>
      <c r="Q26" s="5">
        <v>25.2</v>
      </c>
      <c r="R26" s="4" t="s">
        <v>41</v>
      </c>
    </row>
    <row r="27" spans="1:18">
      <c r="A27" s="4" t="s">
        <v>255</v>
      </c>
      <c r="B27" s="4" t="s">
        <v>256</v>
      </c>
      <c r="C27" s="4" t="s">
        <v>108</v>
      </c>
      <c r="D27" s="5">
        <v>22</v>
      </c>
      <c r="E27" s="4" t="s">
        <v>257</v>
      </c>
      <c r="F27" s="4" t="s">
        <v>258</v>
      </c>
      <c r="G27" s="4" t="s">
        <v>259</v>
      </c>
      <c r="H27" s="4" t="s">
        <v>151</v>
      </c>
      <c r="I27" s="4" t="s">
        <v>260</v>
      </c>
      <c r="J27" s="4" t="s">
        <v>261</v>
      </c>
      <c r="K27" s="4" t="s">
        <v>228</v>
      </c>
      <c r="L27" s="4" t="s">
        <v>167</v>
      </c>
      <c r="M27" s="4" t="s">
        <v>179</v>
      </c>
      <c r="N27" s="4" t="s">
        <v>262</v>
      </c>
      <c r="O27" s="4" t="s">
        <v>180</v>
      </c>
      <c r="P27" s="6">
        <v>0.111</v>
      </c>
      <c r="Q27" s="5">
        <v>13.4</v>
      </c>
      <c r="R27" s="4" t="s">
        <v>41</v>
      </c>
    </row>
    <row r="28" spans="1:18">
      <c r="A28" s="4" t="s">
        <v>263</v>
      </c>
      <c r="B28" s="4" t="s">
        <v>264</v>
      </c>
      <c r="C28" s="4" t="s">
        <v>108</v>
      </c>
      <c r="D28" s="5">
        <v>26</v>
      </c>
      <c r="E28" s="4" t="s">
        <v>265</v>
      </c>
      <c r="F28" s="4" t="s">
        <v>266</v>
      </c>
      <c r="G28" s="4" t="s">
        <v>267</v>
      </c>
      <c r="H28" s="4" t="s">
        <v>112</v>
      </c>
      <c r="I28" s="4" t="s">
        <v>268</v>
      </c>
      <c r="J28" s="4" t="s">
        <v>269</v>
      </c>
      <c r="K28" s="4" t="s">
        <v>178</v>
      </c>
      <c r="L28" s="4" t="s">
        <v>128</v>
      </c>
      <c r="M28" s="4" t="s">
        <v>179</v>
      </c>
      <c r="N28" s="4" t="s">
        <v>53</v>
      </c>
      <c r="O28" s="4" t="s">
        <v>180</v>
      </c>
      <c r="P28" s="6">
        <v>0.079</v>
      </c>
      <c r="Q28" s="5">
        <v>15.8</v>
      </c>
      <c r="R28" s="4" t="s">
        <v>41</v>
      </c>
    </row>
  </sheetData>
  <conditionalFormatting sqref="K6:K28">
    <cfRule type="containsText" dxfId="0" priority="1" operator="containsText" text="Red">
      <formula>NOT(ISERROR(SEARCH("Red",K6)))</formula>
    </cfRule>
    <cfRule type="containsText" dxfId="1" priority="2" operator="containsText" text="Amber">
      <formula>NOT(ISERROR(SEARCH("Amber",K6)))</formula>
    </cfRule>
    <cfRule type="containsText" dxfId="2" priority="3" operator="containsText" text="Green">
      <formula>NOT(ISERROR(SEARCH("Green",K6)))</formula>
    </cfRule>
  </conditionalFormatting>
  <pageMargins left="0.3" right="0.3" top="0.4" bottom="0.4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10.7109375" customWidth="1"/>
    <col min="4" max="4" width="14.7109375" customWidth="1"/>
    <col min="5" max="5" width="48.7109375" customWidth="1"/>
  </cols>
  <sheetData>
    <row r="5" spans="1:5">
      <c r="A5" s="3" t="s">
        <v>270</v>
      </c>
      <c r="B5" s="3" t="s">
        <v>271</v>
      </c>
      <c r="C5" s="3" t="s">
        <v>23</v>
      </c>
      <c r="D5" s="3" t="s">
        <v>272</v>
      </c>
      <c r="E5" s="3" t="s">
        <v>273</v>
      </c>
    </row>
    <row r="6" spans="1:5">
      <c r="A6" s="4">
        <v>1</v>
      </c>
      <c r="B6" s="4" t="s">
        <v>8</v>
      </c>
      <c r="C6" s="4" t="s">
        <v>39</v>
      </c>
      <c r="D6" s="6">
        <v>2.883</v>
      </c>
      <c r="E6" s="4" t="s">
        <v>34</v>
      </c>
    </row>
    <row r="7" spans="1:5">
      <c r="A7" s="4">
        <v>2</v>
      </c>
      <c r="B7" s="4" t="s">
        <v>43</v>
      </c>
      <c r="C7" s="4" t="s">
        <v>53</v>
      </c>
      <c r="D7" s="6">
        <v>2.883</v>
      </c>
      <c r="E7" s="4" t="s">
        <v>49</v>
      </c>
    </row>
    <row r="8" spans="1:5">
      <c r="A8" s="4">
        <v>3</v>
      </c>
      <c r="B8" s="4" t="s">
        <v>56</v>
      </c>
      <c r="C8" s="4" t="s">
        <v>66</v>
      </c>
      <c r="D8" s="6">
        <v>2.873</v>
      </c>
      <c r="E8" s="4" t="s">
        <v>62</v>
      </c>
    </row>
    <row r="9" spans="1:5">
      <c r="A9" s="4">
        <v>4</v>
      </c>
      <c r="B9" s="4" t="s">
        <v>69</v>
      </c>
      <c r="C9" s="4" t="s">
        <v>79</v>
      </c>
      <c r="D9" s="6">
        <v>2.268</v>
      </c>
      <c r="E9" s="4" t="s">
        <v>75</v>
      </c>
    </row>
    <row r="10" spans="1:5">
      <c r="A10" s="4">
        <v>5</v>
      </c>
      <c r="B10" s="4" t="s">
        <v>82</v>
      </c>
      <c r="C10" s="4" t="s">
        <v>91</v>
      </c>
      <c r="D10" s="6">
        <v>1.724</v>
      </c>
      <c r="E10" s="4" t="s">
        <v>87</v>
      </c>
    </row>
    <row r="11" spans="1:5">
      <c r="A11" s="4">
        <v>6</v>
      </c>
      <c r="B11" s="4" t="s">
        <v>94</v>
      </c>
      <c r="C11" s="4" t="s">
        <v>104</v>
      </c>
      <c r="D11" s="6">
        <v>1.693</v>
      </c>
      <c r="E11" s="4" t="s">
        <v>100</v>
      </c>
    </row>
    <row r="12" spans="1:5">
      <c r="A12" s="4">
        <v>7</v>
      </c>
      <c r="B12" s="4" t="s">
        <v>107</v>
      </c>
      <c r="C12" s="4" t="s">
        <v>117</v>
      </c>
      <c r="D12" s="6">
        <v>1.411</v>
      </c>
      <c r="E12" s="4" t="s">
        <v>113</v>
      </c>
    </row>
    <row r="13" spans="1:5">
      <c r="A13" s="4">
        <v>8</v>
      </c>
      <c r="B13" s="4" t="s">
        <v>120</v>
      </c>
      <c r="C13" s="4" t="s">
        <v>130</v>
      </c>
      <c r="D13" s="6">
        <v>1.411</v>
      </c>
      <c r="E13" s="4" t="s">
        <v>126</v>
      </c>
    </row>
    <row r="14" spans="1:5">
      <c r="A14" s="4">
        <v>9</v>
      </c>
      <c r="B14" s="4" t="s">
        <v>133</v>
      </c>
      <c r="C14" s="4" t="s">
        <v>143</v>
      </c>
      <c r="D14" s="6">
        <v>1.2</v>
      </c>
      <c r="E14" s="4" t="s">
        <v>139</v>
      </c>
    </row>
    <row r="15" spans="1:5">
      <c r="A15" s="4">
        <v>10</v>
      </c>
      <c r="B15" s="4" t="s">
        <v>146</v>
      </c>
      <c r="C15" s="4" t="s">
        <v>156</v>
      </c>
      <c r="D15" s="6">
        <v>0.968</v>
      </c>
      <c r="E15" s="4" t="s">
        <v>152</v>
      </c>
    </row>
    <row r="16" spans="1:5">
      <c r="A16" s="4">
        <v>11</v>
      </c>
      <c r="B16" s="4" t="s">
        <v>159</v>
      </c>
      <c r="C16" s="4" t="s">
        <v>169</v>
      </c>
      <c r="D16" s="6">
        <v>0.706</v>
      </c>
      <c r="E16" s="4" t="s">
        <v>165</v>
      </c>
    </row>
    <row r="17" spans="1:5">
      <c r="A17" s="4">
        <v>12</v>
      </c>
      <c r="B17" s="4" t="s">
        <v>172</v>
      </c>
      <c r="C17" s="4" t="s">
        <v>169</v>
      </c>
      <c r="D17" s="6">
        <v>0.466</v>
      </c>
      <c r="E17" s="4" t="s">
        <v>176</v>
      </c>
    </row>
  </sheetData>
  <pageMargins left="0.3" right="0.3" top="0.4" bottom="0.4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4" width="12.7109375" customWidth="1"/>
    <col min="5" max="5" width="48.7109375" customWidth="1"/>
  </cols>
  <sheetData>
    <row r="5" spans="1:5">
      <c r="A5" s="3" t="s">
        <v>270</v>
      </c>
      <c r="B5" s="3" t="s">
        <v>271</v>
      </c>
      <c r="C5" s="3" t="s">
        <v>21</v>
      </c>
      <c r="D5" s="3" t="s">
        <v>274</v>
      </c>
      <c r="E5" s="3" t="s">
        <v>273</v>
      </c>
    </row>
    <row r="6" spans="1:5">
      <c r="A6" s="4">
        <v>1</v>
      </c>
      <c r="B6" s="4" t="s">
        <v>8</v>
      </c>
      <c r="C6" s="4" t="s">
        <v>37</v>
      </c>
      <c r="D6" s="5">
        <v>31.2</v>
      </c>
      <c r="E6" s="4" t="s">
        <v>34</v>
      </c>
    </row>
    <row r="7" spans="1:5">
      <c r="A7" s="4">
        <v>2</v>
      </c>
      <c r="B7" s="4" t="s">
        <v>56</v>
      </c>
      <c r="C7" s="4" t="s">
        <v>64</v>
      </c>
      <c r="D7" s="5">
        <v>30.4</v>
      </c>
      <c r="E7" s="4" t="s">
        <v>62</v>
      </c>
    </row>
    <row r="8" spans="1:5">
      <c r="A8" s="4">
        <v>3</v>
      </c>
      <c r="B8" s="4" t="s">
        <v>247</v>
      </c>
      <c r="C8" s="4" t="s">
        <v>77</v>
      </c>
      <c r="D8" s="5">
        <v>25.2</v>
      </c>
      <c r="E8" s="4" t="s">
        <v>252</v>
      </c>
    </row>
    <row r="9" spans="1:5">
      <c r="A9" s="4">
        <v>4</v>
      </c>
      <c r="B9" s="4" t="s">
        <v>214</v>
      </c>
      <c r="C9" s="4" t="s">
        <v>51</v>
      </c>
      <c r="D9" s="5">
        <v>24.7</v>
      </c>
      <c r="E9" s="4" t="s">
        <v>219</v>
      </c>
    </row>
    <row r="10" spans="1:5">
      <c r="A10" s="4">
        <v>5</v>
      </c>
      <c r="B10" s="4" t="s">
        <v>159</v>
      </c>
      <c r="C10" s="4" t="s">
        <v>167</v>
      </c>
      <c r="D10" s="5">
        <v>24.5</v>
      </c>
      <c r="E10" s="4" t="s">
        <v>165</v>
      </c>
    </row>
    <row r="11" spans="1:5">
      <c r="A11" s="4">
        <v>6</v>
      </c>
      <c r="B11" s="4" t="s">
        <v>43</v>
      </c>
      <c r="C11" s="4" t="s">
        <v>51</v>
      </c>
      <c r="D11" s="5">
        <v>24.2</v>
      </c>
      <c r="E11" s="4" t="s">
        <v>49</v>
      </c>
    </row>
    <row r="12" spans="1:5">
      <c r="A12" s="4">
        <v>7</v>
      </c>
      <c r="B12" s="4" t="s">
        <v>182</v>
      </c>
      <c r="C12" s="4" t="s">
        <v>167</v>
      </c>
      <c r="D12" s="5">
        <v>22.4</v>
      </c>
      <c r="E12" s="4" t="s">
        <v>186</v>
      </c>
    </row>
    <row r="13" spans="1:5">
      <c r="A13" s="4">
        <v>8</v>
      </c>
      <c r="B13" s="4" t="s">
        <v>208</v>
      </c>
      <c r="C13" s="4" t="s">
        <v>128</v>
      </c>
      <c r="D13" s="5">
        <v>21.8</v>
      </c>
      <c r="E13" s="4" t="s">
        <v>212</v>
      </c>
    </row>
    <row r="14" spans="1:5">
      <c r="A14" s="4">
        <v>9</v>
      </c>
      <c r="B14" s="4" t="s">
        <v>172</v>
      </c>
      <c r="C14" s="4" t="s">
        <v>102</v>
      </c>
      <c r="D14" s="5">
        <v>20.5</v>
      </c>
      <c r="E14" s="4" t="s">
        <v>176</v>
      </c>
    </row>
    <row r="15" spans="1:5">
      <c r="A15" s="4">
        <v>10</v>
      </c>
      <c r="B15" s="4" t="s">
        <v>239</v>
      </c>
      <c r="C15" s="4" t="s">
        <v>37</v>
      </c>
      <c r="D15" s="5">
        <v>20</v>
      </c>
      <c r="E15" s="4" t="s">
        <v>244</v>
      </c>
    </row>
    <row r="16" spans="1:5">
      <c r="A16" s="4">
        <v>11</v>
      </c>
      <c r="B16" s="4" t="s">
        <v>94</v>
      </c>
      <c r="C16" s="4" t="s">
        <v>102</v>
      </c>
      <c r="D16" s="5">
        <v>18.9</v>
      </c>
      <c r="E16" s="4" t="s">
        <v>100</v>
      </c>
    </row>
    <row r="17" spans="1:5">
      <c r="A17" s="4">
        <v>12</v>
      </c>
      <c r="B17" s="4" t="s">
        <v>199</v>
      </c>
      <c r="C17" s="4" t="s">
        <v>77</v>
      </c>
      <c r="D17" s="5">
        <v>17.9</v>
      </c>
      <c r="E17" s="4" t="s">
        <v>204</v>
      </c>
    </row>
  </sheetData>
  <pageMargins left="0.3" right="0.3" top="0.4" bottom="0.4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 Risk Dashboard</vt:lpstr>
      <vt:lpstr>02 Full Risk Register</vt:lpstr>
      <vt:lpstr>03 QCRA Tornado</vt:lpstr>
      <vt:lpstr>04 QSRA Tornado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2026-05-24T16:47:46Z</dcterms:created>
  <dcterms:modified xsi:type="dcterms:W3CDTF">2026-05-24T16:47:46Z</dcterms:modified>
</cp:coreProperties>
</file>