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5.657999999999999</v>
                </pt>
                <pt idx="1">
                  <v>1.213</v>
                </pt>
                <pt idx="2">
                  <v>1.212</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Estimate'!$B$6:$B$13</f>
              <strCache>
                <ptCount val="8"/>
                <pt idx="0">
                  <v>Land, enabling and campus infrastructure</v>
                </pt>
                <pt idx="1">
                  <v>Power train and substations</v>
                </pt>
                <pt idx="2">
                  <v>Data halls / white space</v>
                </pt>
                <pt idx="3">
                  <v>Cooling plant</v>
                </pt>
                <pt idx="4">
                  <v>Fibre, controls and security</v>
                </pt>
                <pt idx="5">
                  <v>Commissioning and integrated systems testing</v>
                </pt>
                <pt idx="6">
                  <v>Programme management and procurement</v>
                </pt>
                <pt idx="7">
                  <v>Risk reserve</v>
                </pt>
              </strCache>
            </strRef>
          </cat>
          <val>
            <numRef>
              <f>'02 Selected Cost Estimate'!$F$6:$F$13</f>
              <numCache>
                <formatCode>General</formatCode>
                <ptCount val="8"/>
                <pt idx="0">
                  <v>0.5659999999999999</v>
                </pt>
                <pt idx="1">
                  <v>1.94</v>
                </pt>
                <pt idx="2">
                  <v>1.374</v>
                </pt>
                <pt idx="3">
                  <v>1.212</v>
                </pt>
                <pt idx="4">
                  <v>0.5659999999999999</v>
                </pt>
                <pt idx="5">
                  <v>0.647</v>
                </pt>
                <pt idx="6">
                  <v>0.5659999999999999</v>
                </pt>
                <pt idx="7">
                  <v>1.212</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6.32</v>
                </pt>
                <pt idx="1">
                  <v>6.56</v>
                </pt>
                <pt idx="2">
                  <v>6.8</v>
                </pt>
                <pt idx="3">
                  <v>7.21</v>
                </pt>
                <pt idx="4">
                  <v>7.53</v>
                </pt>
                <pt idx="5">
                  <v>7.86</v>
                </pt>
                <pt idx="6">
                  <v>8.1</v>
                </pt>
                <pt idx="7">
                  <v>8.59</v>
                </pt>
                <pt idx="8">
                  <v>9.31</v>
                </pt>
                <pt idx="9">
                  <v>10.53</v>
                </pt>
                <pt idx="10">
                  <v>11.91</v>
                </pt>
                <pt idx="11">
                  <v>12.8</v>
                </pt>
                <pt idx="12">
                  <v>13.93</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54</v>
                </pt>
                <pt idx="1">
                  <v>55</v>
                </pt>
                <pt idx="2">
                  <v>57</v>
                </pt>
                <pt idx="3">
                  <v>59</v>
                </pt>
                <pt idx="4">
                  <v>62</v>
                </pt>
                <pt idx="5">
                  <v>64</v>
                </pt>
                <pt idx="6">
                  <v>66</v>
                </pt>
                <pt idx="7">
                  <v>70</v>
                </pt>
                <pt idx="8">
                  <v>76</v>
                </pt>
                <pt idx="9">
                  <v>86</v>
                </pt>
                <pt idx="10">
                  <v>97</v>
                </pt>
                <pt idx="11">
                  <v>104</v>
                </pt>
                <pt idx="12">
                  <v>114</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Grid connection delay</v>
                </pt>
                <pt idx="1">
                  <v>Market escalation</v>
                </pt>
                <pt idx="2">
                  <v>Design maturity gap</v>
                </pt>
                <pt idx="3">
                  <v>Scope growth</v>
                </pt>
                <pt idx="4">
                  <v>Cooling system capacity</v>
                </pt>
                <pt idx="5">
                  <v>Productivity underperformance</v>
                </pt>
                <pt idx="6">
                  <v>Supply chain delay</v>
                </pt>
                <pt idx="7">
                  <v>Interface misalignment</v>
                </pt>
                <pt idx="8">
                  <v>Commissioning delay</v>
                </pt>
                <pt idx="9">
                  <v>Permits / approvals delay</v>
                </pt>
                <pt idx="10">
                  <v>Funding / approval gate delay</v>
                </pt>
                <pt idx="11">
                  <v>Commercial claims escalation</v>
                </pt>
              </strCache>
            </strRef>
          </cat>
          <val>
            <numRef>
              <f>'08 QCRA Tornado'!$D$6:$D$17</f>
              <numCache>
                <formatCode>General</formatCode>
                <ptCount val="12"/>
                <pt idx="0">
                  <v>0.504</v>
                </pt>
                <pt idx="1">
                  <v>0.364</v>
                </pt>
                <pt idx="2">
                  <v>0.276</v>
                </pt>
                <pt idx="3">
                  <v>0.272</v>
                </pt>
                <pt idx="4">
                  <v>0.233</v>
                </pt>
                <pt idx="5">
                  <v>0.226</v>
                </pt>
                <pt idx="6">
                  <v>0.226</v>
                </pt>
                <pt idx="7">
                  <v>0.192</v>
                </pt>
                <pt idx="8">
                  <v>0.155</v>
                </pt>
                <pt idx="9">
                  <v>0.113</v>
                </pt>
                <pt idx="10">
                  <v>0.075</v>
                </pt>
                <pt idx="11">
                  <v>0.067</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Grid connection delay</v>
                </pt>
                <pt idx="1">
                  <v>Permits / approvals delay</v>
                </pt>
                <pt idx="2">
                  <v>Liquid cooling vendor maturity</v>
                </pt>
                <pt idx="3">
                  <v>Scope growth</v>
                </pt>
                <pt idx="4">
                  <v>Weather / environmental disruption</v>
                </pt>
                <pt idx="5">
                  <v>Productivity underperformance</v>
                </pt>
                <pt idx="6">
                  <v>Design maturity gap</v>
                </pt>
                <pt idx="7">
                  <v>Cooling system capacity</v>
                </pt>
                <pt idx="8">
                  <v>Commissioning readiness gap</v>
                </pt>
                <pt idx="9">
                  <v>Supply chain delay</v>
                </pt>
                <pt idx="10">
                  <v>Cyber / controls integration</v>
                </pt>
                <pt idx="11">
                  <v>Commercial claims escalation</v>
                </pt>
              </strCache>
            </strRef>
          </cat>
          <val>
            <numRef>
              <f>'09 QSRA Tornado'!$D$6:$D$17</f>
              <numCache>
                <formatCode>General</formatCode>
                <ptCount val="12"/>
                <pt idx="0">
                  <v>46.8</v>
                </pt>
                <pt idx="1">
                  <v>24.5</v>
                </pt>
                <pt idx="2">
                  <v>20.2</v>
                </pt>
                <pt idx="3">
                  <v>18.9</v>
                </pt>
                <pt idx="4">
                  <v>18.1</v>
                </pt>
                <pt idx="5">
                  <v>17.5</v>
                </pt>
                <pt idx="6">
                  <v>17.1</v>
                </pt>
                <pt idx="7">
                  <v>16.2</v>
                </pt>
                <pt idx="8">
                  <v>16.1</v>
                </pt>
                <pt idx="9">
                  <v>16</v>
                </pt>
                <pt idx="10">
                  <v>14.1</v>
                </pt>
                <pt idx="11">
                  <v>13.4</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AI Data Centre Campus | Base scenario | Class 3 | Schedule Level 4</t>
        </is>
      </c>
    </row>
    <row r="5">
      <c r="A5" s="3" t="inlineStr">
        <is>
          <t>P50 Cost</t>
        </is>
      </c>
      <c r="B5" s="10" t="n"/>
      <c r="D5" s="3" t="inlineStr">
        <is>
          <t>Cost Range</t>
        </is>
      </c>
      <c r="E5" s="10" t="n"/>
      <c r="G5" s="3" t="inlineStr">
        <is>
          <t>QCRA P80</t>
        </is>
      </c>
      <c r="H5" s="10" t="n"/>
    </row>
    <row r="6">
      <c r="A6" s="4" t="inlineStr">
        <is>
          <t>$8.1B</t>
        </is>
      </c>
      <c r="B6" s="10" t="n"/>
      <c r="D6" s="4" t="inlineStr">
        <is>
          <t>$6.8B - $11.9B</t>
        </is>
      </c>
      <c r="E6" s="10" t="n"/>
      <c r="G6" s="4" t="inlineStr">
        <is>
          <t>$10.5B</t>
        </is>
      </c>
      <c r="H6" s="10" t="n"/>
    </row>
    <row r="8">
      <c r="A8" s="3" t="inlineStr">
        <is>
          <t>Schedule</t>
        </is>
      </c>
      <c r="B8" s="10" t="n"/>
      <c r="D8" s="3" t="inlineStr">
        <is>
          <t>QSRA P80</t>
        </is>
      </c>
      <c r="E8" s="10" t="n"/>
      <c r="G8" s="3" t="inlineStr">
        <is>
          <t>Risk / Confidence</t>
        </is>
      </c>
      <c r="H8" s="10" t="n"/>
    </row>
    <row r="9">
      <c r="A9" s="4" t="inlineStr">
        <is>
          <t>66 months</t>
        </is>
      </c>
      <c r="B9" s="10" t="n"/>
      <c r="D9" s="4" t="inlineStr">
        <is>
          <t>86 mo</t>
        </is>
      </c>
      <c r="E9" s="10" t="n"/>
      <c r="G9" s="4" t="inlineStr">
        <is>
          <t>Medium-High / 66%</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5.657999999999999</v>
      </c>
    </row>
    <row r="20">
      <c r="A20" s="6" t="inlineStr">
        <is>
          <t>Indirect</t>
        </is>
      </c>
      <c r="B20" s="8" t="n">
        <v>1.213</v>
      </c>
    </row>
    <row r="21">
      <c r="A21" s="6" t="inlineStr">
        <is>
          <t>Reserve</t>
        </is>
      </c>
      <c r="B21" s="8" t="n">
        <v>1.212</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Land, enabling and campus infrastructure</t>
        </is>
      </c>
      <c r="C6" s="6" t="inlineStr">
        <is>
          <t>Direct</t>
        </is>
      </c>
      <c r="D6" s="6" t="inlineStr">
        <is>
          <t>Site, roads, drainage, telecom routes and campus utilities</t>
        </is>
      </c>
      <c r="E6" s="8" t="n">
        <v>0.453</v>
      </c>
      <c r="F6" s="8" t="n">
        <v>0.5659999999999999</v>
      </c>
      <c r="G6" s="8" t="n">
        <v>0.736</v>
      </c>
      <c r="H6" s="6" t="inlineStr">
        <is>
          <t>Land, enabling and campus infrastructure priced as 7.0% of P50 from sector template, location factor 1.35, scale factor 1.90, complexity factor 1.00.</t>
        </is>
      </c>
    </row>
    <row r="7">
      <c r="A7" s="6" t="inlineStr">
        <is>
          <t>01.02</t>
        </is>
      </c>
      <c r="B7" s="6" t="inlineStr">
        <is>
          <t>Power train and substations</t>
        </is>
      </c>
      <c r="C7" s="6" t="inlineStr">
        <is>
          <t>Direct</t>
        </is>
      </c>
      <c r="D7" s="6" t="inlineStr">
        <is>
          <t>HV/MV substations, switchgear, transformers, UPS and generators</t>
        </is>
      </c>
      <c r="E7" s="8" t="n">
        <v>1.552</v>
      </c>
      <c r="F7" s="8" t="n">
        <v>1.94</v>
      </c>
      <c r="G7" s="8" t="n">
        <v>2.522</v>
      </c>
      <c r="H7" s="6" t="inlineStr">
        <is>
          <t>Power train and substations priced as 24.0% of P50 from sector template, location factor 1.35, scale factor 1.90, complexity factor 1.00.</t>
        </is>
      </c>
    </row>
    <row r="8">
      <c r="A8" s="6" t="inlineStr">
        <is>
          <t>01.03</t>
        </is>
      </c>
      <c r="B8" s="6" t="inlineStr">
        <is>
          <t>Data halls / white space</t>
        </is>
      </c>
      <c r="C8" s="6" t="inlineStr">
        <is>
          <t>Direct</t>
        </is>
      </c>
      <c r="D8" s="6" t="inlineStr">
        <is>
          <t>Data halls, fit-out, containment and critical environments</t>
        </is>
      </c>
      <c r="E8" s="8" t="n">
        <v>1.099</v>
      </c>
      <c r="F8" s="8" t="n">
        <v>1.374</v>
      </c>
      <c r="G8" s="8" t="n">
        <v>1.786</v>
      </c>
      <c r="H8" s="6" t="inlineStr">
        <is>
          <t>Data halls / white space priced as 17.0% of P50 from sector template, location factor 1.35, scale factor 1.90, complexity factor 1.00.</t>
        </is>
      </c>
    </row>
    <row r="9">
      <c r="A9" s="6" t="inlineStr">
        <is>
          <t>01.04</t>
        </is>
      </c>
      <c r="B9" s="6" t="inlineStr">
        <is>
          <t>Cooling plant</t>
        </is>
      </c>
      <c r="C9" s="6" t="inlineStr">
        <is>
          <t>Direct</t>
        </is>
      </c>
      <c r="D9" s="6" t="inlineStr">
        <is>
          <t>Liquid cooling, chillers, heat rejection and water systems</t>
        </is>
      </c>
      <c r="E9" s="8" t="n">
        <v>0.97</v>
      </c>
      <c r="F9" s="8" t="n">
        <v>1.212</v>
      </c>
      <c r="G9" s="8" t="n">
        <v>1.576</v>
      </c>
      <c r="H9" s="6" t="inlineStr">
        <is>
          <t>Cooling plant priced as 15.0% of P50 from sector template, location factor 1.35, scale factor 1.90, complexity factor 1.00.</t>
        </is>
      </c>
    </row>
    <row r="10">
      <c r="A10" s="6" t="inlineStr">
        <is>
          <t>01.05</t>
        </is>
      </c>
      <c r="B10" s="6" t="inlineStr">
        <is>
          <t>Fibre, controls and security</t>
        </is>
      </c>
      <c r="C10" s="6" t="inlineStr">
        <is>
          <t>Direct</t>
        </is>
      </c>
      <c r="D10" s="6" t="inlineStr">
        <is>
          <t>Network rooms, BMS/EPMS, access control and cyber/physical security</t>
        </is>
      </c>
      <c r="E10" s="8" t="n">
        <v>0.453</v>
      </c>
      <c r="F10" s="8" t="n">
        <v>0.5659999999999999</v>
      </c>
      <c r="G10" s="8" t="n">
        <v>0.736</v>
      </c>
      <c r="H10" s="6" t="inlineStr">
        <is>
          <t>Fibre, controls and security priced as 7.0% of P50 from sector template, location factor 1.35, scale factor 1.90, complexity factor 1.00.</t>
        </is>
      </c>
    </row>
    <row r="11">
      <c r="A11" s="6" t="inlineStr">
        <is>
          <t>02.01</t>
        </is>
      </c>
      <c r="B11" s="6" t="inlineStr">
        <is>
          <t>Commissioning and integrated systems testing</t>
        </is>
      </c>
      <c r="C11" s="6" t="inlineStr">
        <is>
          <t>Indirect</t>
        </is>
      </c>
      <c r="D11" s="6" t="inlineStr">
        <is>
          <t>IST, black-building tests, staged energisation and reliability proving</t>
        </is>
      </c>
      <c r="E11" s="8" t="n">
        <v>0.518</v>
      </c>
      <c r="F11" s="8" t="n">
        <v>0.647</v>
      </c>
      <c r="G11" s="8" t="n">
        <v>0.841</v>
      </c>
      <c r="H11" s="6" t="inlineStr">
        <is>
          <t>Commissioning and integrated systems testing priced as 8.0% of P50 from sector template, location factor 1.35, scale factor 1.90, complexity factor 1.00.</t>
        </is>
      </c>
    </row>
    <row r="12">
      <c r="A12" s="6" t="inlineStr">
        <is>
          <t>02.02</t>
        </is>
      </c>
      <c r="B12" s="6" t="inlineStr">
        <is>
          <t>Programme management and procurement</t>
        </is>
      </c>
      <c r="C12" s="6" t="inlineStr">
        <is>
          <t>Indirect</t>
        </is>
      </c>
      <c r="D12" s="6" t="inlineStr">
        <is>
          <t>PMO, procurement, logistics and contractor management</t>
        </is>
      </c>
      <c r="E12" s="8" t="n">
        <v>0.453</v>
      </c>
      <c r="F12" s="8" t="n">
        <v>0.5659999999999999</v>
      </c>
      <c r="G12" s="8" t="n">
        <v>0.736</v>
      </c>
      <c r="H12" s="6" t="inlineStr">
        <is>
          <t>Programme management and procurement priced as 7.0% of P50 from sector template, location factor 1.35, scale factor 1.90, complexity factor 1.00.</t>
        </is>
      </c>
    </row>
    <row r="13">
      <c r="A13" s="6" t="inlineStr">
        <is>
          <t>03.01</t>
        </is>
      </c>
      <c r="B13" s="6" t="inlineStr">
        <is>
          <t>Risk reserve</t>
        </is>
      </c>
      <c r="C13" s="6" t="inlineStr">
        <is>
          <t>Reserve</t>
        </is>
      </c>
      <c r="D13" s="6" t="inlineStr">
        <is>
          <t>Utility, long-lead electrical and commissioning uncertainty</t>
        </is>
      </c>
      <c r="E13" s="8" t="n">
        <v>0.97</v>
      </c>
      <c r="F13" s="8" t="n">
        <v>1.212</v>
      </c>
      <c r="G13" s="8" t="n">
        <v>1.576</v>
      </c>
      <c r="H13" s="6" t="inlineStr">
        <is>
          <t>Risk reserve priced as 15.0% of P50 from sector template, location factor 1.35, scale factor 1.90, complexity factor 1.00.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4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Land, enabling and campus infrastructure</t>
        </is>
      </c>
      <c r="F6" s="6" t="inlineStr">
        <is>
          <t>Direct</t>
        </is>
      </c>
      <c r="G6" s="8" t="n">
        <v>0.509</v>
      </c>
      <c r="H6" s="8" t="n">
        <v>0.5659999999999999</v>
      </c>
      <c r="I6" s="8" t="n">
        <v>0.651</v>
      </c>
    </row>
    <row r="7">
      <c r="A7" s="6" t="n">
        <v>1</v>
      </c>
      <c r="B7" s="6" t="inlineStr">
        <is>
          <t>Class 1 Definitive/Bid</t>
        </is>
      </c>
      <c r="C7" s="6" t="inlineStr">
        <is>
          <t>65-100% definition maturity</t>
        </is>
      </c>
      <c r="D7" s="6" t="inlineStr">
        <is>
          <t>01.02</t>
        </is>
      </c>
      <c r="E7" s="6" t="inlineStr">
        <is>
          <t>Power train and substations</t>
        </is>
      </c>
      <c r="F7" s="6" t="inlineStr">
        <is>
          <t>Direct</t>
        </is>
      </c>
      <c r="G7" s="8" t="n">
        <v>1.746</v>
      </c>
      <c r="H7" s="8" t="n">
        <v>1.94</v>
      </c>
      <c r="I7" s="8" t="n">
        <v>2.231</v>
      </c>
    </row>
    <row r="8">
      <c r="A8" s="6" t="n">
        <v>1</v>
      </c>
      <c r="B8" s="6" t="inlineStr">
        <is>
          <t>Class 1 Definitive/Bid</t>
        </is>
      </c>
      <c r="C8" s="6" t="inlineStr">
        <is>
          <t>65-100% definition maturity</t>
        </is>
      </c>
      <c r="D8" s="6" t="inlineStr">
        <is>
          <t>01.03</t>
        </is>
      </c>
      <c r="E8" s="6" t="inlineStr">
        <is>
          <t>Data halls / white space</t>
        </is>
      </c>
      <c r="F8" s="6" t="inlineStr">
        <is>
          <t>Direct</t>
        </is>
      </c>
      <c r="G8" s="8" t="n">
        <v>1.237</v>
      </c>
      <c r="H8" s="8" t="n">
        <v>1.374</v>
      </c>
      <c r="I8" s="8" t="n">
        <v>1.58</v>
      </c>
    </row>
    <row r="9">
      <c r="A9" s="6" t="n">
        <v>1</v>
      </c>
      <c r="B9" s="6" t="inlineStr">
        <is>
          <t>Class 1 Definitive/Bid</t>
        </is>
      </c>
      <c r="C9" s="6" t="inlineStr">
        <is>
          <t>65-100% definition maturity</t>
        </is>
      </c>
      <c r="D9" s="6" t="inlineStr">
        <is>
          <t>01.04</t>
        </is>
      </c>
      <c r="E9" s="6" t="inlineStr">
        <is>
          <t>Cooling plant</t>
        </is>
      </c>
      <c r="F9" s="6" t="inlineStr">
        <is>
          <t>Direct</t>
        </is>
      </c>
      <c r="G9" s="8" t="n">
        <v>1.091</v>
      </c>
      <c r="H9" s="8" t="n">
        <v>1.212</v>
      </c>
      <c r="I9" s="8" t="n">
        <v>1.394</v>
      </c>
    </row>
    <row r="10">
      <c r="A10" s="6" t="n">
        <v>1</v>
      </c>
      <c r="B10" s="6" t="inlineStr">
        <is>
          <t>Class 1 Definitive/Bid</t>
        </is>
      </c>
      <c r="C10" s="6" t="inlineStr">
        <is>
          <t>65-100% definition maturity</t>
        </is>
      </c>
      <c r="D10" s="6" t="inlineStr">
        <is>
          <t>01.05</t>
        </is>
      </c>
      <c r="E10" s="6" t="inlineStr">
        <is>
          <t>Fibre, controls and security</t>
        </is>
      </c>
      <c r="F10" s="6" t="inlineStr">
        <is>
          <t>Direct</t>
        </is>
      </c>
      <c r="G10" s="8" t="n">
        <v>0.509</v>
      </c>
      <c r="H10" s="8" t="n">
        <v>0.5659999999999999</v>
      </c>
      <c r="I10" s="8" t="n">
        <v>0.651</v>
      </c>
    </row>
    <row r="11">
      <c r="A11" s="6" t="n">
        <v>1</v>
      </c>
      <c r="B11" s="6" t="inlineStr">
        <is>
          <t>Class 1 Definitive/Bid</t>
        </is>
      </c>
      <c r="C11" s="6" t="inlineStr">
        <is>
          <t>65-100% definition maturity</t>
        </is>
      </c>
      <c r="D11" s="6" t="inlineStr">
        <is>
          <t>02.01</t>
        </is>
      </c>
      <c r="E11" s="6" t="inlineStr">
        <is>
          <t>Commissioning and integrated systems testing</t>
        </is>
      </c>
      <c r="F11" s="6" t="inlineStr">
        <is>
          <t>Indirect</t>
        </is>
      </c>
      <c r="G11" s="8" t="n">
        <v>0.582</v>
      </c>
      <c r="H11" s="8" t="n">
        <v>0.647</v>
      </c>
      <c r="I11" s="8" t="n">
        <v>0.744</v>
      </c>
    </row>
    <row r="12">
      <c r="A12" s="6" t="n">
        <v>1</v>
      </c>
      <c r="B12" s="6" t="inlineStr">
        <is>
          <t>Class 1 Definitive/Bid</t>
        </is>
      </c>
      <c r="C12" s="6" t="inlineStr">
        <is>
          <t>65-100% definition maturity</t>
        </is>
      </c>
      <c r="D12" s="6" t="inlineStr">
        <is>
          <t>02.02</t>
        </is>
      </c>
      <c r="E12" s="6" t="inlineStr">
        <is>
          <t>Programme management and procurement</t>
        </is>
      </c>
      <c r="F12" s="6" t="inlineStr">
        <is>
          <t>Indirect</t>
        </is>
      </c>
      <c r="G12" s="8" t="n">
        <v>0.509</v>
      </c>
      <c r="H12" s="8" t="n">
        <v>0.5659999999999999</v>
      </c>
      <c r="I12" s="8" t="n">
        <v>0.651</v>
      </c>
    </row>
    <row r="13">
      <c r="A13" s="6" t="n">
        <v>1</v>
      </c>
      <c r="B13" s="6" t="inlineStr">
        <is>
          <t>Class 1 Definitive/Bid</t>
        </is>
      </c>
      <c r="C13" s="6" t="inlineStr">
        <is>
          <t>65-100% definition maturity</t>
        </is>
      </c>
      <c r="D13" s="6" t="inlineStr">
        <is>
          <t>03.01</t>
        </is>
      </c>
      <c r="E13" s="6" t="inlineStr">
        <is>
          <t>Risk reserve</t>
        </is>
      </c>
      <c r="F13" s="6" t="inlineStr">
        <is>
          <t>Reserve</t>
        </is>
      </c>
      <c r="G13" s="8" t="n">
        <v>1.091</v>
      </c>
      <c r="H13" s="8" t="n">
        <v>1.212</v>
      </c>
      <c r="I13" s="8" t="n">
        <v>1.394</v>
      </c>
    </row>
    <row r="14">
      <c r="A14" s="6" t="n">
        <v>2</v>
      </c>
      <c r="B14" s="6" t="inlineStr">
        <is>
          <t>Class 2 Control/Tender</t>
        </is>
      </c>
      <c r="C14" s="6" t="inlineStr">
        <is>
          <t>30-75% definition maturity</t>
        </is>
      </c>
      <c r="D14" s="6" t="inlineStr">
        <is>
          <t>01.01</t>
        </is>
      </c>
      <c r="E14" s="6" t="inlineStr">
        <is>
          <t>Land, enabling and campus infrastructure</t>
        </is>
      </c>
      <c r="F14" s="6" t="inlineStr">
        <is>
          <t>Direct</t>
        </is>
      </c>
      <c r="G14" s="8" t="n">
        <v>0.481</v>
      </c>
      <c r="H14" s="8" t="n">
        <v>0.5659999999999999</v>
      </c>
      <c r="I14" s="8" t="n">
        <v>0.679</v>
      </c>
    </row>
    <row r="15">
      <c r="A15" s="6" t="n">
        <v>2</v>
      </c>
      <c r="B15" s="6" t="inlineStr">
        <is>
          <t>Class 2 Control/Tender</t>
        </is>
      </c>
      <c r="C15" s="6" t="inlineStr">
        <is>
          <t>30-75% definition maturity</t>
        </is>
      </c>
      <c r="D15" s="6" t="inlineStr">
        <is>
          <t>01.02</t>
        </is>
      </c>
      <c r="E15" s="6" t="inlineStr">
        <is>
          <t>Power train and substations</t>
        </is>
      </c>
      <c r="F15" s="6" t="inlineStr">
        <is>
          <t>Direct</t>
        </is>
      </c>
      <c r="G15" s="8" t="n">
        <v>1.649</v>
      </c>
      <c r="H15" s="8" t="n">
        <v>1.94</v>
      </c>
      <c r="I15" s="8" t="n">
        <v>2.328</v>
      </c>
    </row>
    <row r="16">
      <c r="A16" s="6" t="n">
        <v>2</v>
      </c>
      <c r="B16" s="6" t="inlineStr">
        <is>
          <t>Class 2 Control/Tender</t>
        </is>
      </c>
      <c r="C16" s="6" t="inlineStr">
        <is>
          <t>30-75% definition maturity</t>
        </is>
      </c>
      <c r="D16" s="6" t="inlineStr">
        <is>
          <t>01.03</t>
        </is>
      </c>
      <c r="E16" s="6" t="inlineStr">
        <is>
          <t>Data halls / white space</t>
        </is>
      </c>
      <c r="F16" s="6" t="inlineStr">
        <is>
          <t>Direct</t>
        </is>
      </c>
      <c r="G16" s="8" t="n">
        <v>1.168</v>
      </c>
      <c r="H16" s="8" t="n">
        <v>1.374</v>
      </c>
      <c r="I16" s="8" t="n">
        <v>1.649</v>
      </c>
    </row>
    <row r="17">
      <c r="A17" s="6" t="n">
        <v>2</v>
      </c>
      <c r="B17" s="6" t="inlineStr">
        <is>
          <t>Class 2 Control/Tender</t>
        </is>
      </c>
      <c r="C17" s="6" t="inlineStr">
        <is>
          <t>30-75% definition maturity</t>
        </is>
      </c>
      <c r="D17" s="6" t="inlineStr">
        <is>
          <t>01.04</t>
        </is>
      </c>
      <c r="E17" s="6" t="inlineStr">
        <is>
          <t>Cooling plant</t>
        </is>
      </c>
      <c r="F17" s="6" t="inlineStr">
        <is>
          <t>Direct</t>
        </is>
      </c>
      <c r="G17" s="8" t="n">
        <v>1.03</v>
      </c>
      <c r="H17" s="8" t="n">
        <v>1.212</v>
      </c>
      <c r="I17" s="8" t="n">
        <v>1.454</v>
      </c>
    </row>
    <row r="18">
      <c r="A18" s="6" t="n">
        <v>2</v>
      </c>
      <c r="B18" s="6" t="inlineStr">
        <is>
          <t>Class 2 Control/Tender</t>
        </is>
      </c>
      <c r="C18" s="6" t="inlineStr">
        <is>
          <t>30-75% definition maturity</t>
        </is>
      </c>
      <c r="D18" s="6" t="inlineStr">
        <is>
          <t>01.05</t>
        </is>
      </c>
      <c r="E18" s="6" t="inlineStr">
        <is>
          <t>Fibre, controls and security</t>
        </is>
      </c>
      <c r="F18" s="6" t="inlineStr">
        <is>
          <t>Direct</t>
        </is>
      </c>
      <c r="G18" s="8" t="n">
        <v>0.481</v>
      </c>
      <c r="H18" s="8" t="n">
        <v>0.5659999999999999</v>
      </c>
      <c r="I18" s="8" t="n">
        <v>0.679</v>
      </c>
    </row>
    <row r="19">
      <c r="A19" s="6" t="n">
        <v>2</v>
      </c>
      <c r="B19" s="6" t="inlineStr">
        <is>
          <t>Class 2 Control/Tender</t>
        </is>
      </c>
      <c r="C19" s="6" t="inlineStr">
        <is>
          <t>30-75% definition maturity</t>
        </is>
      </c>
      <c r="D19" s="6" t="inlineStr">
        <is>
          <t>02.01</t>
        </is>
      </c>
      <c r="E19" s="6" t="inlineStr">
        <is>
          <t>Commissioning and integrated systems testing</t>
        </is>
      </c>
      <c r="F19" s="6" t="inlineStr">
        <is>
          <t>Indirect</t>
        </is>
      </c>
      <c r="G19" s="8" t="n">
        <v>0.55</v>
      </c>
      <c r="H19" s="8" t="n">
        <v>0.647</v>
      </c>
      <c r="I19" s="8" t="n">
        <v>0.776</v>
      </c>
    </row>
    <row r="20">
      <c r="A20" s="6" t="n">
        <v>2</v>
      </c>
      <c r="B20" s="6" t="inlineStr">
        <is>
          <t>Class 2 Control/Tender</t>
        </is>
      </c>
      <c r="C20" s="6" t="inlineStr">
        <is>
          <t>30-75% definition maturity</t>
        </is>
      </c>
      <c r="D20" s="6" t="inlineStr">
        <is>
          <t>02.02</t>
        </is>
      </c>
      <c r="E20" s="6" t="inlineStr">
        <is>
          <t>Programme management and procurement</t>
        </is>
      </c>
      <c r="F20" s="6" t="inlineStr">
        <is>
          <t>Indirect</t>
        </is>
      </c>
      <c r="G20" s="8" t="n">
        <v>0.481</v>
      </c>
      <c r="H20" s="8" t="n">
        <v>0.5659999999999999</v>
      </c>
      <c r="I20" s="8" t="n">
        <v>0.679</v>
      </c>
    </row>
    <row r="21">
      <c r="A21" s="6" t="n">
        <v>2</v>
      </c>
      <c r="B21" s="6" t="inlineStr">
        <is>
          <t>Class 2 Control/Tender</t>
        </is>
      </c>
      <c r="C21" s="6" t="inlineStr">
        <is>
          <t>30-75% definition maturity</t>
        </is>
      </c>
      <c r="D21" s="6" t="inlineStr">
        <is>
          <t>03.01</t>
        </is>
      </c>
      <c r="E21" s="6" t="inlineStr">
        <is>
          <t>Risk reserve</t>
        </is>
      </c>
      <c r="F21" s="6" t="inlineStr">
        <is>
          <t>Reserve</t>
        </is>
      </c>
      <c r="G21" s="8" t="n">
        <v>1.03</v>
      </c>
      <c r="H21" s="8" t="n">
        <v>1.212</v>
      </c>
      <c r="I21" s="8" t="n">
        <v>1.454</v>
      </c>
    </row>
    <row r="22">
      <c r="A22" s="6" t="n">
        <v>3</v>
      </c>
      <c r="B22" s="6" t="inlineStr">
        <is>
          <t>Class 3 Budget Authorization</t>
        </is>
      </c>
      <c r="C22" s="6" t="inlineStr">
        <is>
          <t>10-40% definition maturity</t>
        </is>
      </c>
      <c r="D22" s="6" t="inlineStr">
        <is>
          <t>01.01</t>
        </is>
      </c>
      <c r="E22" s="6" t="inlineStr">
        <is>
          <t>Land, enabling and campus infrastructure</t>
        </is>
      </c>
      <c r="F22" s="6" t="inlineStr">
        <is>
          <t>Direct</t>
        </is>
      </c>
      <c r="G22" s="8" t="n">
        <v>0.453</v>
      </c>
      <c r="H22" s="8" t="n">
        <v>0.5659999999999999</v>
      </c>
      <c r="I22" s="8" t="n">
        <v>0.736</v>
      </c>
    </row>
    <row r="23">
      <c r="A23" s="6" t="n">
        <v>3</v>
      </c>
      <c r="B23" s="6" t="inlineStr">
        <is>
          <t>Class 3 Budget Authorization</t>
        </is>
      </c>
      <c r="C23" s="6" t="inlineStr">
        <is>
          <t>10-40% definition maturity</t>
        </is>
      </c>
      <c r="D23" s="6" t="inlineStr">
        <is>
          <t>01.02</t>
        </is>
      </c>
      <c r="E23" s="6" t="inlineStr">
        <is>
          <t>Power train and substations</t>
        </is>
      </c>
      <c r="F23" s="6" t="inlineStr">
        <is>
          <t>Direct</t>
        </is>
      </c>
      <c r="G23" s="8" t="n">
        <v>1.552</v>
      </c>
      <c r="H23" s="8" t="n">
        <v>1.94</v>
      </c>
      <c r="I23" s="8" t="n">
        <v>2.522</v>
      </c>
    </row>
    <row r="24">
      <c r="A24" s="6" t="n">
        <v>3</v>
      </c>
      <c r="B24" s="6" t="inlineStr">
        <is>
          <t>Class 3 Budget Authorization</t>
        </is>
      </c>
      <c r="C24" s="6" t="inlineStr">
        <is>
          <t>10-40% definition maturity</t>
        </is>
      </c>
      <c r="D24" s="6" t="inlineStr">
        <is>
          <t>01.03</t>
        </is>
      </c>
      <c r="E24" s="6" t="inlineStr">
        <is>
          <t>Data halls / white space</t>
        </is>
      </c>
      <c r="F24" s="6" t="inlineStr">
        <is>
          <t>Direct</t>
        </is>
      </c>
      <c r="G24" s="8" t="n">
        <v>1.099</v>
      </c>
      <c r="H24" s="8" t="n">
        <v>1.374</v>
      </c>
      <c r="I24" s="8" t="n">
        <v>1.786</v>
      </c>
    </row>
    <row r="25">
      <c r="A25" s="6" t="n">
        <v>3</v>
      </c>
      <c r="B25" s="6" t="inlineStr">
        <is>
          <t>Class 3 Budget Authorization</t>
        </is>
      </c>
      <c r="C25" s="6" t="inlineStr">
        <is>
          <t>10-40% definition maturity</t>
        </is>
      </c>
      <c r="D25" s="6" t="inlineStr">
        <is>
          <t>01.04</t>
        </is>
      </c>
      <c r="E25" s="6" t="inlineStr">
        <is>
          <t>Cooling plant</t>
        </is>
      </c>
      <c r="F25" s="6" t="inlineStr">
        <is>
          <t>Direct</t>
        </is>
      </c>
      <c r="G25" s="8" t="n">
        <v>0.97</v>
      </c>
      <c r="H25" s="8" t="n">
        <v>1.212</v>
      </c>
      <c r="I25" s="8" t="n">
        <v>1.576</v>
      </c>
    </row>
    <row r="26">
      <c r="A26" s="6" t="n">
        <v>3</v>
      </c>
      <c r="B26" s="6" t="inlineStr">
        <is>
          <t>Class 3 Budget Authorization</t>
        </is>
      </c>
      <c r="C26" s="6" t="inlineStr">
        <is>
          <t>10-40% definition maturity</t>
        </is>
      </c>
      <c r="D26" s="6" t="inlineStr">
        <is>
          <t>01.05</t>
        </is>
      </c>
      <c r="E26" s="6" t="inlineStr">
        <is>
          <t>Fibre, controls and security</t>
        </is>
      </c>
      <c r="F26" s="6" t="inlineStr">
        <is>
          <t>Direct</t>
        </is>
      </c>
      <c r="G26" s="8" t="n">
        <v>0.453</v>
      </c>
      <c r="H26" s="8" t="n">
        <v>0.5659999999999999</v>
      </c>
      <c r="I26" s="8" t="n">
        <v>0.736</v>
      </c>
    </row>
    <row r="27">
      <c r="A27" s="6" t="n">
        <v>3</v>
      </c>
      <c r="B27" s="6" t="inlineStr">
        <is>
          <t>Class 3 Budget Authorization</t>
        </is>
      </c>
      <c r="C27" s="6" t="inlineStr">
        <is>
          <t>10-40% definition maturity</t>
        </is>
      </c>
      <c r="D27" s="6" t="inlineStr">
        <is>
          <t>02.01</t>
        </is>
      </c>
      <c r="E27" s="6" t="inlineStr">
        <is>
          <t>Commissioning and integrated systems testing</t>
        </is>
      </c>
      <c r="F27" s="6" t="inlineStr">
        <is>
          <t>Indirect</t>
        </is>
      </c>
      <c r="G27" s="8" t="n">
        <v>0.518</v>
      </c>
      <c r="H27" s="8" t="n">
        <v>0.647</v>
      </c>
      <c r="I27" s="8" t="n">
        <v>0.841</v>
      </c>
    </row>
    <row r="28">
      <c r="A28" s="6" t="n">
        <v>3</v>
      </c>
      <c r="B28" s="6" t="inlineStr">
        <is>
          <t>Class 3 Budget Authorization</t>
        </is>
      </c>
      <c r="C28" s="6" t="inlineStr">
        <is>
          <t>10-40% definition maturity</t>
        </is>
      </c>
      <c r="D28" s="6" t="inlineStr">
        <is>
          <t>02.02</t>
        </is>
      </c>
      <c r="E28" s="6" t="inlineStr">
        <is>
          <t>Programme management and procurement</t>
        </is>
      </c>
      <c r="F28" s="6" t="inlineStr">
        <is>
          <t>Indirect</t>
        </is>
      </c>
      <c r="G28" s="8" t="n">
        <v>0.453</v>
      </c>
      <c r="H28" s="8" t="n">
        <v>0.5659999999999999</v>
      </c>
      <c r="I28" s="8" t="n">
        <v>0.736</v>
      </c>
    </row>
    <row r="29">
      <c r="A29" s="6" t="n">
        <v>3</v>
      </c>
      <c r="B29" s="6" t="inlineStr">
        <is>
          <t>Class 3 Budget Authorization</t>
        </is>
      </c>
      <c r="C29" s="6" t="inlineStr">
        <is>
          <t>10-40% definition maturity</t>
        </is>
      </c>
      <c r="D29" s="6" t="inlineStr">
        <is>
          <t>03.01</t>
        </is>
      </c>
      <c r="E29" s="6" t="inlineStr">
        <is>
          <t>Risk reserve</t>
        </is>
      </c>
      <c r="F29" s="6" t="inlineStr">
        <is>
          <t>Reserve</t>
        </is>
      </c>
      <c r="G29" s="8" t="n">
        <v>0.97</v>
      </c>
      <c r="H29" s="8" t="n">
        <v>1.212</v>
      </c>
      <c r="I29" s="8" t="n">
        <v>1.576</v>
      </c>
    </row>
    <row r="30">
      <c r="A30" s="6" t="n">
        <v>4</v>
      </c>
      <c r="B30" s="6" t="inlineStr">
        <is>
          <t>Class 4 Feasibility</t>
        </is>
      </c>
      <c r="C30" s="6" t="inlineStr">
        <is>
          <t>1-15% definition maturity</t>
        </is>
      </c>
      <c r="D30" s="6" t="inlineStr">
        <is>
          <t>01.01</t>
        </is>
      </c>
      <c r="E30" s="6" t="inlineStr">
        <is>
          <t>Land, enabling and campus infrastructure</t>
        </is>
      </c>
      <c r="F30" s="6" t="inlineStr">
        <is>
          <t>Direct</t>
        </is>
      </c>
      <c r="G30" s="8" t="n">
        <v>0.396</v>
      </c>
      <c r="H30" s="8" t="n">
        <v>0.5659999999999999</v>
      </c>
      <c r="I30" s="8" t="n">
        <v>0.849</v>
      </c>
    </row>
    <row r="31">
      <c r="A31" s="6" t="n">
        <v>4</v>
      </c>
      <c r="B31" s="6" t="inlineStr">
        <is>
          <t>Class 4 Feasibility</t>
        </is>
      </c>
      <c r="C31" s="6" t="inlineStr">
        <is>
          <t>1-15% definition maturity</t>
        </is>
      </c>
      <c r="D31" s="6" t="inlineStr">
        <is>
          <t>01.02</t>
        </is>
      </c>
      <c r="E31" s="6" t="inlineStr">
        <is>
          <t>Power train and substations</t>
        </is>
      </c>
      <c r="F31" s="6" t="inlineStr">
        <is>
          <t>Direct</t>
        </is>
      </c>
      <c r="G31" s="8" t="n">
        <v>1.358</v>
      </c>
      <c r="H31" s="8" t="n">
        <v>1.94</v>
      </c>
      <c r="I31" s="8" t="n">
        <v>2.91</v>
      </c>
    </row>
    <row r="32">
      <c r="A32" s="6" t="n">
        <v>4</v>
      </c>
      <c r="B32" s="6" t="inlineStr">
        <is>
          <t>Class 4 Feasibility</t>
        </is>
      </c>
      <c r="C32" s="6" t="inlineStr">
        <is>
          <t>1-15% definition maturity</t>
        </is>
      </c>
      <c r="D32" s="6" t="inlineStr">
        <is>
          <t>01.03</t>
        </is>
      </c>
      <c r="E32" s="6" t="inlineStr">
        <is>
          <t>Data halls / white space</t>
        </is>
      </c>
      <c r="F32" s="6" t="inlineStr">
        <is>
          <t>Direct</t>
        </is>
      </c>
      <c r="G32" s="8" t="n">
        <v>0.962</v>
      </c>
      <c r="H32" s="8" t="n">
        <v>1.374</v>
      </c>
      <c r="I32" s="8" t="n">
        <v>2.061</v>
      </c>
    </row>
    <row r="33">
      <c r="A33" s="6" t="n">
        <v>4</v>
      </c>
      <c r="B33" s="6" t="inlineStr">
        <is>
          <t>Class 4 Feasibility</t>
        </is>
      </c>
      <c r="C33" s="6" t="inlineStr">
        <is>
          <t>1-15% definition maturity</t>
        </is>
      </c>
      <c r="D33" s="6" t="inlineStr">
        <is>
          <t>01.04</t>
        </is>
      </c>
      <c r="E33" s="6" t="inlineStr">
        <is>
          <t>Cooling plant</t>
        </is>
      </c>
      <c r="F33" s="6" t="inlineStr">
        <is>
          <t>Direct</t>
        </is>
      </c>
      <c r="G33" s="8" t="n">
        <v>0.848</v>
      </c>
      <c r="H33" s="8" t="n">
        <v>1.212</v>
      </c>
      <c r="I33" s="8" t="n">
        <v>1.818</v>
      </c>
    </row>
    <row r="34">
      <c r="A34" s="6" t="n">
        <v>4</v>
      </c>
      <c r="B34" s="6" t="inlineStr">
        <is>
          <t>Class 4 Feasibility</t>
        </is>
      </c>
      <c r="C34" s="6" t="inlineStr">
        <is>
          <t>1-15% definition maturity</t>
        </is>
      </c>
      <c r="D34" s="6" t="inlineStr">
        <is>
          <t>01.05</t>
        </is>
      </c>
      <c r="E34" s="6" t="inlineStr">
        <is>
          <t>Fibre, controls and security</t>
        </is>
      </c>
      <c r="F34" s="6" t="inlineStr">
        <is>
          <t>Direct</t>
        </is>
      </c>
      <c r="G34" s="8" t="n">
        <v>0.396</v>
      </c>
      <c r="H34" s="8" t="n">
        <v>0.5659999999999999</v>
      </c>
      <c r="I34" s="8" t="n">
        <v>0.849</v>
      </c>
    </row>
    <row r="35">
      <c r="A35" s="6" t="n">
        <v>4</v>
      </c>
      <c r="B35" s="6" t="inlineStr">
        <is>
          <t>Class 4 Feasibility</t>
        </is>
      </c>
      <c r="C35" s="6" t="inlineStr">
        <is>
          <t>1-15% definition maturity</t>
        </is>
      </c>
      <c r="D35" s="6" t="inlineStr">
        <is>
          <t>02.01</t>
        </is>
      </c>
      <c r="E35" s="6" t="inlineStr">
        <is>
          <t>Commissioning and integrated systems testing</t>
        </is>
      </c>
      <c r="F35" s="6" t="inlineStr">
        <is>
          <t>Indirect</t>
        </is>
      </c>
      <c r="G35" s="8" t="n">
        <v>0.453</v>
      </c>
      <c r="H35" s="8" t="n">
        <v>0.647</v>
      </c>
      <c r="I35" s="8" t="n">
        <v>0.971</v>
      </c>
    </row>
    <row r="36">
      <c r="A36" s="6" t="n">
        <v>4</v>
      </c>
      <c r="B36" s="6" t="inlineStr">
        <is>
          <t>Class 4 Feasibility</t>
        </is>
      </c>
      <c r="C36" s="6" t="inlineStr">
        <is>
          <t>1-15% definition maturity</t>
        </is>
      </c>
      <c r="D36" s="6" t="inlineStr">
        <is>
          <t>02.02</t>
        </is>
      </c>
      <c r="E36" s="6" t="inlineStr">
        <is>
          <t>Programme management and procurement</t>
        </is>
      </c>
      <c r="F36" s="6" t="inlineStr">
        <is>
          <t>Indirect</t>
        </is>
      </c>
      <c r="G36" s="8" t="n">
        <v>0.396</v>
      </c>
      <c r="H36" s="8" t="n">
        <v>0.5659999999999999</v>
      </c>
      <c r="I36" s="8" t="n">
        <v>0.849</v>
      </c>
    </row>
    <row r="37">
      <c r="A37" s="6" t="n">
        <v>4</v>
      </c>
      <c r="B37" s="6" t="inlineStr">
        <is>
          <t>Class 4 Feasibility</t>
        </is>
      </c>
      <c r="C37" s="6" t="inlineStr">
        <is>
          <t>1-15% definition maturity</t>
        </is>
      </c>
      <c r="D37" s="6" t="inlineStr">
        <is>
          <t>03.01</t>
        </is>
      </c>
      <c r="E37" s="6" t="inlineStr">
        <is>
          <t>Risk reserve</t>
        </is>
      </c>
      <c r="F37" s="6" t="inlineStr">
        <is>
          <t>Reserve</t>
        </is>
      </c>
      <c r="G37" s="8" t="n">
        <v>0.848</v>
      </c>
      <c r="H37" s="8" t="n">
        <v>1.212</v>
      </c>
      <c r="I37" s="8" t="n">
        <v>1.818</v>
      </c>
    </row>
    <row r="38">
      <c r="A38" s="6" t="n">
        <v>5</v>
      </c>
      <c r="B38" s="6" t="inlineStr">
        <is>
          <t>Class 5 Concept Screening</t>
        </is>
      </c>
      <c r="C38" s="6" t="inlineStr">
        <is>
          <t>0-2% definition maturity</t>
        </is>
      </c>
      <c r="D38" s="6" t="inlineStr">
        <is>
          <t>01.01</t>
        </is>
      </c>
      <c r="E38" s="6" t="inlineStr">
        <is>
          <t>Land, enabling and campus infrastructure</t>
        </is>
      </c>
      <c r="F38" s="6" t="inlineStr">
        <is>
          <t>Direct</t>
        </is>
      </c>
      <c r="G38" s="8" t="n">
        <v>0.283</v>
      </c>
      <c r="H38" s="8" t="n">
        <v>0.5659999999999999</v>
      </c>
      <c r="I38" s="8" t="n">
        <v>1.132</v>
      </c>
    </row>
    <row r="39">
      <c r="A39" s="6" t="n">
        <v>5</v>
      </c>
      <c r="B39" s="6" t="inlineStr">
        <is>
          <t>Class 5 Concept Screening</t>
        </is>
      </c>
      <c r="C39" s="6" t="inlineStr">
        <is>
          <t>0-2% definition maturity</t>
        </is>
      </c>
      <c r="D39" s="6" t="inlineStr">
        <is>
          <t>01.02</t>
        </is>
      </c>
      <c r="E39" s="6" t="inlineStr">
        <is>
          <t>Power train and substations</t>
        </is>
      </c>
      <c r="F39" s="6" t="inlineStr">
        <is>
          <t>Direct</t>
        </is>
      </c>
      <c r="G39" s="8" t="n">
        <v>0.97</v>
      </c>
      <c r="H39" s="8" t="n">
        <v>1.94</v>
      </c>
      <c r="I39" s="8" t="n">
        <v>3.88</v>
      </c>
    </row>
    <row r="40">
      <c r="A40" s="6" t="n">
        <v>5</v>
      </c>
      <c r="B40" s="6" t="inlineStr">
        <is>
          <t>Class 5 Concept Screening</t>
        </is>
      </c>
      <c r="C40" s="6" t="inlineStr">
        <is>
          <t>0-2% definition maturity</t>
        </is>
      </c>
      <c r="D40" s="6" t="inlineStr">
        <is>
          <t>01.03</t>
        </is>
      </c>
      <c r="E40" s="6" t="inlineStr">
        <is>
          <t>Data halls / white space</t>
        </is>
      </c>
      <c r="F40" s="6" t="inlineStr">
        <is>
          <t>Direct</t>
        </is>
      </c>
      <c r="G40" s="8" t="n">
        <v>0.6870000000000001</v>
      </c>
      <c r="H40" s="8" t="n">
        <v>1.374</v>
      </c>
      <c r="I40" s="8" t="n">
        <v>2.748</v>
      </c>
    </row>
    <row r="41">
      <c r="A41" s="6" t="n">
        <v>5</v>
      </c>
      <c r="B41" s="6" t="inlineStr">
        <is>
          <t>Class 5 Concept Screening</t>
        </is>
      </c>
      <c r="C41" s="6" t="inlineStr">
        <is>
          <t>0-2% definition maturity</t>
        </is>
      </c>
      <c r="D41" s="6" t="inlineStr">
        <is>
          <t>01.04</t>
        </is>
      </c>
      <c r="E41" s="6" t="inlineStr">
        <is>
          <t>Cooling plant</t>
        </is>
      </c>
      <c r="F41" s="6" t="inlineStr">
        <is>
          <t>Direct</t>
        </is>
      </c>
      <c r="G41" s="8" t="n">
        <v>0.606</v>
      </c>
      <c r="H41" s="8" t="n">
        <v>1.212</v>
      </c>
      <c r="I41" s="8" t="n">
        <v>2.424</v>
      </c>
    </row>
    <row r="42">
      <c r="A42" s="6" t="n">
        <v>5</v>
      </c>
      <c r="B42" s="6" t="inlineStr">
        <is>
          <t>Class 5 Concept Screening</t>
        </is>
      </c>
      <c r="C42" s="6" t="inlineStr">
        <is>
          <t>0-2% definition maturity</t>
        </is>
      </c>
      <c r="D42" s="6" t="inlineStr">
        <is>
          <t>01.05</t>
        </is>
      </c>
      <c r="E42" s="6" t="inlineStr">
        <is>
          <t>Fibre, controls and security</t>
        </is>
      </c>
      <c r="F42" s="6" t="inlineStr">
        <is>
          <t>Direct</t>
        </is>
      </c>
      <c r="G42" s="8" t="n">
        <v>0.283</v>
      </c>
      <c r="H42" s="8" t="n">
        <v>0.5659999999999999</v>
      </c>
      <c r="I42" s="8" t="n">
        <v>1.132</v>
      </c>
    </row>
    <row r="43">
      <c r="A43" s="6" t="n">
        <v>5</v>
      </c>
      <c r="B43" s="6" t="inlineStr">
        <is>
          <t>Class 5 Concept Screening</t>
        </is>
      </c>
      <c r="C43" s="6" t="inlineStr">
        <is>
          <t>0-2% definition maturity</t>
        </is>
      </c>
      <c r="D43" s="6" t="inlineStr">
        <is>
          <t>02.01</t>
        </is>
      </c>
      <c r="E43" s="6" t="inlineStr">
        <is>
          <t>Commissioning and integrated systems testing</t>
        </is>
      </c>
      <c r="F43" s="6" t="inlineStr">
        <is>
          <t>Indirect</t>
        </is>
      </c>
      <c r="G43" s="8" t="n">
        <v>0.324</v>
      </c>
      <c r="H43" s="8" t="n">
        <v>0.647</v>
      </c>
      <c r="I43" s="8" t="n">
        <v>1.294</v>
      </c>
    </row>
    <row r="44">
      <c r="A44" s="6" t="n">
        <v>5</v>
      </c>
      <c r="B44" s="6" t="inlineStr">
        <is>
          <t>Class 5 Concept Screening</t>
        </is>
      </c>
      <c r="C44" s="6" t="inlineStr">
        <is>
          <t>0-2% definition maturity</t>
        </is>
      </c>
      <c r="D44" s="6" t="inlineStr">
        <is>
          <t>02.02</t>
        </is>
      </c>
      <c r="E44" s="6" t="inlineStr">
        <is>
          <t>Programme management and procurement</t>
        </is>
      </c>
      <c r="F44" s="6" t="inlineStr">
        <is>
          <t>Indirect</t>
        </is>
      </c>
      <c r="G44" s="8" t="n">
        <v>0.283</v>
      </c>
      <c r="H44" s="8" t="n">
        <v>0.5659999999999999</v>
      </c>
      <c r="I44" s="8" t="n">
        <v>1.132</v>
      </c>
    </row>
    <row r="45">
      <c r="A45" s="6" t="n">
        <v>5</v>
      </c>
      <c r="B45" s="6" t="inlineStr">
        <is>
          <t>Class 5 Concept Screening</t>
        </is>
      </c>
      <c r="C45" s="6" t="inlineStr">
        <is>
          <t>0-2% definition maturity</t>
        </is>
      </c>
      <c r="D45" s="6" t="inlineStr">
        <is>
          <t>03.01</t>
        </is>
      </c>
      <c r="E45" s="6" t="inlineStr">
        <is>
          <t>Risk reserve</t>
        </is>
      </c>
      <c r="F45" s="6" t="inlineStr">
        <is>
          <t>Reserve</t>
        </is>
      </c>
      <c r="G45" s="8" t="n">
        <v>0.606</v>
      </c>
      <c r="H45" s="8" t="n">
        <v>1.212</v>
      </c>
      <c r="I45" s="8" t="n">
        <v>2.424</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$9.7B</t>
        </is>
      </c>
      <c r="C6" s="6" t="n">
        <v>72</v>
      </c>
      <c r="D6" s="6" t="inlineStr">
        <is>
          <t>Medium</t>
        </is>
      </c>
      <c r="E6" s="6" t="n">
        <v>64</v>
      </c>
      <c r="F6" s="6" t="inlineStr">
        <is>
          <t>Balanced reference case.</t>
        </is>
      </c>
      <c r="G6" s="6" t="inlineStr">
        <is>
          <t>Decision trade-off: cost / time / risk / confidence</t>
        </is>
      </c>
    </row>
    <row r="7">
      <c r="A7" s="6" t="inlineStr">
        <is>
          <t>Faster</t>
        </is>
      </c>
      <c r="B7" s="6" t="inlineStr">
        <is>
          <t>$10.8B</t>
        </is>
      </c>
      <c r="C7" s="6" t="n">
        <v>59</v>
      </c>
      <c r="D7" s="6" t="inlineStr">
        <is>
          <t>Medium</t>
        </is>
      </c>
      <c r="E7" s="6" t="n">
        <v>59</v>
      </c>
      <c r="F7" s="6" t="inlineStr">
        <is>
          <t>Parallel design/procurement, acceleration, premium logistics and higher interface risk.</t>
        </is>
      </c>
      <c r="G7" s="6" t="inlineStr">
        <is>
          <t>Decision trade-off: cost / time / risk / confidence</t>
        </is>
      </c>
    </row>
    <row r="8">
      <c r="A8" s="6" t="inlineStr">
        <is>
          <t>Cheaper</t>
        </is>
      </c>
      <c r="B8" s="6" t="inlineStr">
        <is>
          <t>$8.6B</t>
        </is>
      </c>
      <c r="C8" s="6" t="n">
        <v>78</v>
      </c>
      <c r="D8" s="6" t="inlineStr">
        <is>
          <t>Medium</t>
        </is>
      </c>
      <c r="E8" s="6" t="n">
        <v>58</v>
      </c>
      <c r="F8" s="6" t="inlineStr">
        <is>
          <t>Value engineering, tighter scope and procurement competition, with schedule/quality exposure.</t>
        </is>
      </c>
      <c r="G8" s="6" t="inlineStr">
        <is>
          <t>Decision trade-off: cost / time / risk / confidence</t>
        </is>
      </c>
    </row>
    <row r="9">
      <c r="A9" s="6" t="inlineStr">
        <is>
          <t>Lower Risk</t>
        </is>
      </c>
      <c r="B9" s="6" t="inlineStr">
        <is>
          <t>$10.6B</t>
        </is>
      </c>
      <c r="C9" s="6" t="n">
        <v>79</v>
      </c>
      <c r="D9" s="6" t="inlineStr">
        <is>
          <t>Low</t>
        </is>
      </c>
      <c r="E9" s="6" t="n">
        <v>77</v>
      </c>
      <c r="F9" s="6" t="inlineStr">
        <is>
          <t>More surveys, assurance, stage gates, contingency and schedule buffers.</t>
        </is>
      </c>
      <c r="G9" s="6" t="inlineStr">
        <is>
          <t>Decision trade-off: cost / time / risk / confidence</t>
        </is>
      </c>
    </row>
    <row r="10">
      <c r="A10" s="6" t="inlineStr">
        <is>
          <t>Premium</t>
        </is>
      </c>
      <c r="B10" s="6" t="inlineStr">
        <is>
          <t>$11.2B</t>
        </is>
      </c>
      <c r="C10" s="6" t="n">
        <v>75</v>
      </c>
      <c r="D10" s="6" t="inlineStr">
        <is>
          <t>Low</t>
        </is>
      </c>
      <c r="E10" s="6" t="n">
        <v>80</v>
      </c>
      <c r="F10" s="6" t="inlineStr">
        <is>
          <t>Best assurance, independent review, early procurement and high-confidence governance.</t>
        </is>
      </c>
      <c r="G10" s="6" t="inlineStr">
        <is>
          <t>Decision trade-off: cost / time / risk / confidence</t>
        </is>
      </c>
    </row>
    <row r="11">
      <c r="A11" s="6" t="inlineStr">
        <is>
          <t>Investor</t>
        </is>
      </c>
      <c r="B11" s="6" t="inlineStr">
        <is>
          <t>$9.6B</t>
        </is>
      </c>
      <c r="C11" s="6" t="n">
        <v>72</v>
      </c>
      <c r="D11" s="6" t="inlineStr">
        <is>
          <t>Medium</t>
        </is>
      </c>
      <c r="E11" s="6" t="n">
        <v>67</v>
      </c>
      <c r="F11" s="6" t="inlineStr">
        <is>
          <t>Investment-framing case with transparent risk and commercial challenge.</t>
        </is>
      </c>
      <c r="G11" s="6" t="inlineStr">
        <is>
          <t>Decision trade-off: cost / time / risk / confidence</t>
        </is>
      </c>
    </row>
    <row r="12">
      <c r="A12" s="6" t="inlineStr">
        <is>
          <t>Survival</t>
        </is>
      </c>
      <c r="B12" s="6" t="inlineStr">
        <is>
          <t>$7.6B</t>
        </is>
      </c>
      <c r="C12" s="6" t="n">
        <v>86</v>
      </c>
      <c r="D12" s="6" t="inlineStr">
        <is>
          <t>Medium</t>
        </is>
      </c>
      <c r="E12" s="6" t="n">
        <v>54</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7"/>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R-D01</t>
        </is>
      </c>
      <c r="B6" s="6" t="inlineStr">
        <is>
          <t>Grid connection delay</t>
        </is>
      </c>
      <c r="C6" s="6" t="inlineStr">
        <is>
          <t>Utilities</t>
        </is>
      </c>
      <c r="D6" s="9" t="n">
        <v>52</v>
      </c>
      <c r="E6" s="6" t="inlineStr">
        <is>
          <t>Utility agreement, substation scope or energisation pathway not secured</t>
        </is>
      </c>
      <c r="F6" s="6" t="inlineStr">
        <is>
          <t>Grid connection delay occurs or materialises during delivery.</t>
        </is>
      </c>
      <c r="G6" s="6" t="inlineStr">
        <is>
          <t>Critical path delay, temporary power cost, phased opening risk and revenue deferral</t>
        </is>
      </c>
      <c r="H6" s="6" t="inlineStr">
        <is>
          <t>Utilities Lead</t>
        </is>
      </c>
      <c r="I6" s="6" t="inlineStr">
        <is>
          <t>Secure grid agreement, temporary power strategy, early equipment orders</t>
        </is>
      </c>
      <c r="J6" s="6" t="inlineStr">
        <is>
          <t>Grid agreement unsigned at gate</t>
        </is>
      </c>
      <c r="K6" s="6" t="inlineStr">
        <is>
          <t>Medium</t>
        </is>
      </c>
      <c r="L6" s="6" t="inlineStr">
        <is>
          <t>A1400</t>
        </is>
      </c>
      <c r="M6" s="6" t="inlineStr">
        <is>
          <t>Planning, regulatory and stakeholder approvals</t>
        </is>
      </c>
      <c r="N6" s="6" t="inlineStr">
        <is>
          <t>01.04</t>
        </is>
      </c>
      <c r="O6" s="6" t="inlineStr">
        <is>
          <t>Cooling plant</t>
        </is>
      </c>
      <c r="P6" s="8" t="n">
        <v>0.504</v>
      </c>
      <c r="Q6" s="9" t="n">
        <v>46.8</v>
      </c>
    </row>
    <row r="7">
      <c r="A7" s="6" t="inlineStr">
        <is>
          <t>R-002</t>
        </is>
      </c>
      <c r="B7" s="6" t="inlineStr">
        <is>
          <t>Market escalation</t>
        </is>
      </c>
      <c r="C7" s="6" t="inlineStr">
        <is>
          <t>Commercial</t>
        </is>
      </c>
      <c r="D7" s="9" t="n">
        <v>45</v>
      </c>
      <c r="E7" s="6" t="inlineStr">
        <is>
          <t>Supplier market tightness, inflation, FX and long procurement window</t>
        </is>
      </c>
      <c r="F7" s="6" t="inlineStr">
        <is>
          <t>Market escalation occurs or materialises during delivery.</t>
        </is>
      </c>
      <c r="G7" s="6" t="inlineStr">
        <is>
          <t>P50 cost becomes understated; commercial approvals or procurement strategy may need reset</t>
        </is>
      </c>
      <c r="H7" s="6" t="inlineStr">
        <is>
          <t>Commercial Lead</t>
        </is>
      </c>
      <c r="I7" s="6" t="inlineStr">
        <is>
          <t>Early procurement, index-linked allowances, market testing, FX strategy</t>
        </is>
      </c>
      <c r="J7" s="6" t="inlineStr">
        <is>
          <t>Index exceeds allowance by 3%</t>
        </is>
      </c>
      <c r="K7" s="6" t="inlineStr">
        <is>
          <t>Low</t>
        </is>
      </c>
      <c r="L7" s="6" t="inlineStr">
        <is>
          <t>A1700</t>
        </is>
      </c>
      <c r="M7" s="6" t="inlineStr">
        <is>
          <t>Long-lead procurement</t>
        </is>
      </c>
      <c r="N7" s="6" t="inlineStr">
        <is>
          <t>02.02</t>
        </is>
      </c>
      <c r="O7" s="6" t="inlineStr">
        <is>
          <t>Programme management and procurement</t>
        </is>
      </c>
      <c r="P7" s="8" t="n">
        <v>0.364</v>
      </c>
      <c r="Q7" s="9" t="n">
        <v>0.1</v>
      </c>
    </row>
    <row r="8">
      <c r="A8" s="6" t="inlineStr">
        <is>
          <t>R-004</t>
        </is>
      </c>
      <c r="B8" s="6" t="inlineStr">
        <is>
          <t>Design maturity gap</t>
        </is>
      </c>
      <c r="C8" s="6" t="inlineStr">
        <is>
          <t>Technical</t>
        </is>
      </c>
      <c r="D8" s="9" t="n">
        <v>38</v>
      </c>
      <c r="E8" s="6" t="inlineStr">
        <is>
          <t>Estimate is based on immature design, incomplete surveys or unresolved interfaces</t>
        </is>
      </c>
      <c r="F8" s="6" t="inlineStr">
        <is>
          <t>Design maturity gap occurs or materialises during delivery.</t>
        </is>
      </c>
      <c r="G8" s="6" t="inlineStr">
        <is>
          <t>Cost growth, quantity movement, rework and schedule resequencing</t>
        </is>
      </c>
      <c r="H8" s="6" t="inlineStr">
        <is>
          <t>Design Manager</t>
        </is>
      </c>
      <c r="I8" s="6" t="inlineStr">
        <is>
          <t>Design maturity gates, independent review, assumption register</t>
        </is>
      </c>
      <c r="J8" s="6" t="inlineStr">
        <is>
          <t>Design deliverables miss maturity gate</t>
        </is>
      </c>
      <c r="K8" s="6" t="inlineStr">
        <is>
          <t>Low</t>
        </is>
      </c>
      <c r="L8" s="6" t="inlineStr">
        <is>
          <t>A1900</t>
        </is>
      </c>
      <c r="M8" s="6" t="inlineStr">
        <is>
          <t>Main construction / fabrication / assembly</t>
        </is>
      </c>
      <c r="N8" s="6" t="inlineStr">
        <is>
          <t>03.01</t>
        </is>
      </c>
      <c r="O8" s="6" t="inlineStr">
        <is>
          <t>Risk reserve</t>
        </is>
      </c>
      <c r="P8" s="8" t="n">
        <v>0.276</v>
      </c>
      <c r="Q8" s="9" t="n">
        <v>17.1</v>
      </c>
    </row>
    <row r="9">
      <c r="A9" s="6" t="inlineStr">
        <is>
          <t>R-001</t>
        </is>
      </c>
      <c r="B9" s="6" t="inlineStr">
        <is>
          <t>Scope growth</t>
        </is>
      </c>
      <c r="C9" s="6" t="inlineStr">
        <is>
          <t>Scope</t>
        </is>
      </c>
      <c r="D9" s="9" t="n">
        <v>42</v>
      </c>
      <c r="E9" s="6" t="inlineStr">
        <is>
          <t>Ambiguous requirements, immature scope freeze and late stakeholder changes</t>
        </is>
      </c>
      <c r="F9" s="6" t="inlineStr">
        <is>
          <t>Scope growth occurs or materialises during delivery.</t>
        </is>
      </c>
      <c r="G9" s="6" t="inlineStr">
        <is>
          <t>Additional quantities, redesign, rework, procurement churn and board contingency drawdown</t>
        </is>
      </c>
      <c r="H9" s="6" t="inlineStr">
        <is>
          <t>Project Director</t>
        </is>
      </c>
      <c r="I9" s="6" t="inlineStr">
        <is>
          <t>Freeze scope baseline, change board, value gates, client decision log</t>
        </is>
      </c>
      <c r="J9" s="6" t="inlineStr">
        <is>
          <t>Scope change rate exceeds 2% of package value</t>
        </is>
      </c>
      <c r="K9" s="6" t="inlineStr">
        <is>
          <t>Low</t>
        </is>
      </c>
      <c r="L9" s="6" t="inlineStr">
        <is>
          <t>A1600</t>
        </is>
      </c>
      <c r="M9" s="6" t="inlineStr">
        <is>
          <t>Detailed design / IFC development</t>
        </is>
      </c>
      <c r="N9" s="6" t="inlineStr">
        <is>
          <t>02.01</t>
        </is>
      </c>
      <c r="O9" s="6" t="inlineStr">
        <is>
          <t>Commissioning and integrated systems testing</t>
        </is>
      </c>
      <c r="P9" s="8" t="n">
        <v>0.272</v>
      </c>
      <c r="Q9" s="9" t="n">
        <v>18.9</v>
      </c>
    </row>
    <row r="10">
      <c r="A10" s="6" t="inlineStr">
        <is>
          <t>R-D02</t>
        </is>
      </c>
      <c r="B10" s="6" t="inlineStr">
        <is>
          <t>Cooling system capacity</t>
        </is>
      </c>
      <c r="C10" s="6" t="inlineStr">
        <is>
          <t>Technical</t>
        </is>
      </c>
      <c r="D10" s="9" t="n">
        <v>36</v>
      </c>
      <c r="E10" s="6" t="inlineStr">
        <is>
          <t>Thermal basis, water availability or cooling vendor performance uncertain</t>
        </is>
      </c>
      <c r="F10" s="6" t="inlineStr">
        <is>
          <t>Cooling system capacity occurs or materialises during delivery.</t>
        </is>
      </c>
      <c r="G10" s="6" t="inlineStr">
        <is>
          <t>Re-design, commissioning delay, lower IT load and resilience concern</t>
        </is>
      </c>
      <c r="H10" s="6" t="inlineStr">
        <is>
          <t>MEP Lead</t>
        </is>
      </c>
      <c r="I10" s="6" t="inlineStr">
        <is>
          <t>Thermal modelling, supplier validation, early performance test</t>
        </is>
      </c>
      <c r="J10" s="6" t="inlineStr">
        <is>
          <t>Cooling performance test fails</t>
        </is>
      </c>
      <c r="K10" s="6" t="inlineStr">
        <is>
          <t>Low</t>
        </is>
      </c>
      <c r="L10" s="6" t="inlineStr">
        <is>
          <t>A1500</t>
        </is>
      </c>
      <c r="M10" s="6" t="inlineStr">
        <is>
          <t>Procurement strategy and tender packaging</t>
        </is>
      </c>
      <c r="N10" s="6" t="inlineStr">
        <is>
          <t>01.05</t>
        </is>
      </c>
      <c r="O10" s="6" t="inlineStr">
        <is>
          <t>Fibre, controls and security</t>
        </is>
      </c>
      <c r="P10" s="8" t="n">
        <v>0.233</v>
      </c>
      <c r="Q10" s="9" t="n">
        <v>16.2</v>
      </c>
    </row>
    <row r="11">
      <c r="A11" s="6" t="inlineStr">
        <is>
          <t>R-006</t>
        </is>
      </c>
      <c r="B11" s="6" t="inlineStr">
        <is>
          <t>Productivity underperformance</t>
        </is>
      </c>
      <c r="C11" s="6" t="inlineStr">
        <is>
          <t>Delivery</t>
        </is>
      </c>
      <c r="D11" s="9" t="n">
        <v>35</v>
      </c>
      <c r="E11" s="6" t="inlineStr">
        <is>
          <t>Access constraints, poor sequencing, labour scarcity or learning curve</t>
        </is>
      </c>
      <c r="F11" s="6" t="inlineStr">
        <is>
          <t>Productivity underperformance occurs or materialises during delivery.</t>
        </is>
      </c>
      <c r="G11" s="6" t="inlineStr">
        <is>
          <t>Extended duration, increased preliminaries and loss of float</t>
        </is>
      </c>
      <c r="H11" s="6" t="inlineStr">
        <is>
          <t>Delivery Lead</t>
        </is>
      </c>
      <c r="I11" s="6" t="inlineStr">
        <is>
          <t>Package productivity controls, daily planning, earned value cadence</t>
        </is>
      </c>
      <c r="J11" s="6" t="inlineStr">
        <is>
          <t>SPI/CPI deteriorates for two reporting periods</t>
        </is>
      </c>
      <c r="K11" s="6" t="inlineStr">
        <is>
          <t>Low</t>
        </is>
      </c>
      <c r="L11" s="6" t="inlineStr">
        <is>
          <t>A2100</t>
        </is>
      </c>
      <c r="M11" s="6" t="inlineStr">
        <is>
          <t>Commissioning, operations readiness and closeout</t>
        </is>
      </c>
      <c r="N11" s="6" t="inlineStr">
        <is>
          <t>03.01</t>
        </is>
      </c>
      <c r="O11" s="6" t="inlineStr">
        <is>
          <t>Risk reserve</t>
        </is>
      </c>
      <c r="P11" s="8" t="n">
        <v>0.226</v>
      </c>
      <c r="Q11" s="9" t="n">
        <v>17.5</v>
      </c>
    </row>
    <row r="12">
      <c r="A12" s="6" t="inlineStr">
        <is>
          <t>R-005</t>
        </is>
      </c>
      <c r="B12" s="6" t="inlineStr">
        <is>
          <t>Supply chain delay</t>
        </is>
      </c>
      <c r="C12" s="6" t="inlineStr">
        <is>
          <t>Procurement</t>
        </is>
      </c>
      <c r="D12" s="9" t="n">
        <v>40</v>
      </c>
      <c r="E12" s="6" t="inlineStr">
        <is>
          <t>Long-lead equipment, constrained suppliers or late procurement release</t>
        </is>
      </c>
      <c r="F12" s="6" t="inlineStr">
        <is>
          <t>Supply chain delay occurs or materialises during delivery.</t>
        </is>
      </c>
      <c r="G12" s="6" t="inlineStr">
        <is>
          <t>Delayed installation, critical path movement and acceleration cost</t>
        </is>
      </c>
      <c r="H12" s="6" t="inlineStr">
        <is>
          <t>Procurement Lead</t>
        </is>
      </c>
      <c r="I12" s="6" t="inlineStr">
        <is>
          <t>Alternate suppliers, early orders, expediting, framework options</t>
        </is>
      </c>
      <c r="J12" s="6" t="inlineStr">
        <is>
          <t>Supplier promise date slips</t>
        </is>
      </c>
      <c r="K12" s="6" t="inlineStr">
        <is>
          <t>Low</t>
        </is>
      </c>
      <c r="L12" s="6" t="inlineStr">
        <is>
          <t>A2000</t>
        </is>
      </c>
      <c r="M12" s="6" t="inlineStr">
        <is>
          <t>Systems integration and testing</t>
        </is>
      </c>
      <c r="N12" s="6" t="inlineStr">
        <is>
          <t>03.01</t>
        </is>
      </c>
      <c r="O12" s="6" t="inlineStr">
        <is>
          <t>Risk reserve</t>
        </is>
      </c>
      <c r="P12" s="8" t="n">
        <v>0.226</v>
      </c>
      <c r="Q12" s="9" t="n">
        <v>16</v>
      </c>
    </row>
    <row r="13">
      <c r="A13" s="6" t="inlineStr">
        <is>
          <t>R-008</t>
        </is>
      </c>
      <c r="B13" s="6" t="inlineStr">
        <is>
          <t>Interface misalignment</t>
        </is>
      </c>
      <c r="C13" s="6" t="inlineStr">
        <is>
          <t>Integration</t>
        </is>
      </c>
      <c r="D13" s="9" t="n">
        <v>34</v>
      </c>
      <c r="E13" s="6" t="inlineStr">
        <is>
          <t>Multiple contractors, unclear interface ownership or late design coordination</t>
        </is>
      </c>
      <c r="F13" s="6" t="inlineStr">
        <is>
          <t>Interface misalignment occurs or materialises during delivery.</t>
        </is>
      </c>
      <c r="G13" s="6" t="inlineStr">
        <is>
          <t>Rework, claims, delay and fragmented accountability</t>
        </is>
      </c>
      <c r="H13" s="6" t="inlineStr">
        <is>
          <t>Integration Manager</t>
        </is>
      </c>
      <c r="I13" s="6" t="inlineStr">
        <is>
          <t>Interface control documents, weekly interface board, accountable owners</t>
        </is>
      </c>
      <c r="J13" s="6" t="inlineStr">
        <is>
          <t>Interface actions overdue</t>
        </is>
      </c>
      <c r="K13" s="6" t="inlineStr">
        <is>
          <t>Low</t>
        </is>
      </c>
      <c r="L13" s="6" t="inlineStr">
        <is>
          <t>P2000</t>
        </is>
      </c>
      <c r="M13" s="6" t="inlineStr">
        <is>
          <t>Data halls</t>
        </is>
      </c>
      <c r="N13" s="6" t="inlineStr">
        <is>
          <t>03.01</t>
        </is>
      </c>
      <c r="O13" s="6" t="inlineStr">
        <is>
          <t>Risk reserve</t>
        </is>
      </c>
      <c r="P13" s="8" t="n">
        <v>0.192</v>
      </c>
      <c r="Q13" s="9" t="n">
        <v>11.9</v>
      </c>
    </row>
    <row r="14">
      <c r="A14" s="6" t="inlineStr">
        <is>
          <t>R-007</t>
        </is>
      </c>
      <c r="B14" s="6" t="inlineStr">
        <is>
          <t>Commissioning delay</t>
        </is>
      </c>
      <c r="C14" s="6" t="inlineStr">
        <is>
          <t>Handover</t>
        </is>
      </c>
      <c r="D14" s="9" t="n">
        <v>32</v>
      </c>
      <c r="E14" s="6" t="inlineStr">
        <is>
          <t>Incomplete readiness, software integration issues or defects during testing</t>
        </is>
      </c>
      <c r="F14" s="6" t="inlineStr">
        <is>
          <t>Commissioning delay occurs or materialises during delivery.</t>
        </is>
      </c>
      <c r="G14" s="6" t="inlineStr">
        <is>
          <t>Delayed handover, operational readiness slippage and liquidated damages exposure</t>
        </is>
      </c>
      <c r="H14" s="6" t="inlineStr">
        <is>
          <t>Commissioning Lead</t>
        </is>
      </c>
      <c r="I14" s="6" t="inlineStr">
        <is>
          <t>Commissioning readiness plan, early test packs, digital systems integration</t>
        </is>
      </c>
      <c r="J14" s="6" t="inlineStr">
        <is>
          <t>Test failures trend upward</t>
        </is>
      </c>
      <c r="K14" s="6" t="inlineStr">
        <is>
          <t>Low</t>
        </is>
      </c>
      <c r="L14" s="6" t="inlineStr">
        <is>
          <t>P1000</t>
        </is>
      </c>
      <c r="M14" s="6" t="inlineStr">
        <is>
          <t>Grid connection</t>
        </is>
      </c>
      <c r="N14" s="6" t="inlineStr">
        <is>
          <t>03.01</t>
        </is>
      </c>
      <c r="O14" s="6" t="inlineStr">
        <is>
          <t>Risk reserve</t>
        </is>
      </c>
      <c r="P14" s="8" t="n">
        <v>0.155</v>
      </c>
      <c r="Q14" s="9" t="n">
        <v>11.2</v>
      </c>
    </row>
    <row r="15">
      <c r="A15" s="6" t="inlineStr">
        <is>
          <t>R-003</t>
        </is>
      </c>
      <c r="B15" s="6" t="inlineStr">
        <is>
          <t>Permits / approvals delay</t>
        </is>
      </c>
      <c r="C15" s="6" t="inlineStr">
        <is>
          <t>Regulatory</t>
        </is>
      </c>
      <c r="D15" s="9" t="n">
        <v>35</v>
      </c>
      <c r="E15" s="6" t="inlineStr">
        <is>
          <t>Authority process, stakeholder objections or incomplete submissions</t>
        </is>
      </c>
      <c r="F15" s="6" t="inlineStr">
        <is>
          <t>Permits / approvals delay occurs or materialises during delivery.</t>
        </is>
      </c>
      <c r="G15" s="6" t="inlineStr">
        <is>
          <t>Critical path delay, extended preliminaries and potential redesign conditions</t>
        </is>
      </c>
      <c r="H15" s="6" t="inlineStr">
        <is>
          <t>Consents Lead</t>
        </is>
      </c>
      <c r="I15" s="6" t="inlineStr">
        <is>
          <t>Authority plan, consent tracker, early submissions, stakeholder map</t>
        </is>
      </c>
      <c r="J15" s="6" t="inlineStr">
        <is>
          <t>Consent milestone slips by 30 days</t>
        </is>
      </c>
      <c r="K15" s="6" t="inlineStr">
        <is>
          <t>Low</t>
        </is>
      </c>
      <c r="L15" s="6" t="inlineStr">
        <is>
          <t>A1800</t>
        </is>
      </c>
      <c r="M15" s="6" t="inlineStr">
        <is>
          <t>Site / launch integration readiness</t>
        </is>
      </c>
      <c r="N15" s="6" t="inlineStr">
        <is>
          <t>03.01</t>
        </is>
      </c>
      <c r="O15" s="6" t="inlineStr">
        <is>
          <t>Risk reserve</t>
        </is>
      </c>
      <c r="P15" s="8" t="n">
        <v>0.113</v>
      </c>
      <c r="Q15" s="9" t="n">
        <v>24.5</v>
      </c>
    </row>
    <row r="16">
      <c r="A16" s="6" t="inlineStr">
        <is>
          <t>R-015</t>
        </is>
      </c>
      <c r="B16" s="6" t="inlineStr">
        <is>
          <t>Funding / approval gate delay</t>
        </is>
      </c>
      <c r="C16" s="6" t="inlineStr">
        <is>
          <t>Delivery</t>
        </is>
      </c>
      <c r="D16" s="9" t="n">
        <v>42</v>
      </c>
      <c r="E16" s="6" t="inlineStr">
        <is>
          <t>Investment approvals or staged funding gates not aligned with procurement</t>
        </is>
      </c>
      <c r="F16" s="6" t="inlineStr">
        <is>
          <t>Capital release is delayed</t>
        </is>
      </c>
      <c r="G16" s="6" t="inlineStr">
        <is>
          <t>Procurement missed windows and schedule slippage</t>
        </is>
      </c>
      <c r="H16" s="6" t="inlineStr">
        <is>
          <t>Sponsor</t>
        </is>
      </c>
      <c r="I16" s="6" t="inlineStr">
        <is>
          <t>Approval roadmap, early board papers, contingency approvals</t>
        </is>
      </c>
      <c r="J16" s="6" t="inlineStr">
        <is>
          <t>Approval date slips</t>
        </is>
      </c>
      <c r="K16" s="6" t="inlineStr">
        <is>
          <t>Amber</t>
        </is>
      </c>
      <c r="L16" s="6" t="inlineStr">
        <is>
          <t>A1700</t>
        </is>
      </c>
      <c r="M16" s="6" t="inlineStr">
        <is>
          <t>Linked schedule activity</t>
        </is>
      </c>
      <c r="N16" s="6" t="inlineStr">
        <is>
          <t>01.09</t>
        </is>
      </c>
      <c r="O16" s="6" t="inlineStr">
        <is>
          <t>Linked cost package</t>
        </is>
      </c>
      <c r="P16" s="8" t="n">
        <v>0.075</v>
      </c>
      <c r="Q16" s="9" t="n">
        <v>12.2</v>
      </c>
    </row>
    <row r="17">
      <c r="A17" s="6" t="inlineStr">
        <is>
          <t>R-009</t>
        </is>
      </c>
      <c r="B17" s="6" t="inlineStr">
        <is>
          <t>Commercial claims escalation</t>
        </is>
      </c>
      <c r="C17" s="6" t="inlineStr">
        <is>
          <t>Delivery</t>
        </is>
      </c>
      <c r="D17" s="9" t="n">
        <v>46</v>
      </c>
      <c r="E17" s="6" t="inlineStr">
        <is>
          <t>Contract ambiguity, change volume and interface disputes</t>
        </is>
      </c>
      <c r="F17" s="6" t="inlineStr">
        <is>
          <t>Claims submitted above allowance</t>
        </is>
      </c>
      <c r="G17" s="6" t="inlineStr">
        <is>
          <t>Commercial pressure, management distraction and increased outturn cost</t>
        </is>
      </c>
      <c r="H17" s="6" t="inlineStr">
        <is>
          <t>Commercial Lead</t>
        </is>
      </c>
      <c r="I17" s="6" t="inlineStr">
        <is>
          <t>Tight change control, entitlement reviews, dispute avoidance board</t>
        </is>
      </c>
      <c r="J17" s="6" t="inlineStr">
        <is>
          <t>Claim volume exceeds baseline</t>
        </is>
      </c>
      <c r="K17" s="6" t="inlineStr">
        <is>
          <t>Red</t>
        </is>
      </c>
      <c r="L17" s="6" t="inlineStr">
        <is>
          <t>A1900</t>
        </is>
      </c>
      <c r="M17" s="6" t="inlineStr">
        <is>
          <t>Linked schedule activity</t>
        </is>
      </c>
      <c r="N17" s="6" t="inlineStr">
        <is>
          <t>01.03</t>
        </is>
      </c>
      <c r="O17" s="6" t="inlineStr">
        <is>
          <t>Linked cost package</t>
        </is>
      </c>
      <c r="P17" s="8" t="n">
        <v>0.067</v>
      </c>
      <c r="Q17" s="9" t="n">
        <v>13.4</v>
      </c>
    </row>
    <row r="18">
      <c r="A18" s="6" t="inlineStr">
        <is>
          <t>R-014</t>
        </is>
      </c>
      <c r="B18" s="6" t="inlineStr">
        <is>
          <t>Stakeholder change</t>
        </is>
      </c>
      <c r="C18" s="6" t="inlineStr">
        <is>
          <t>Delivery</t>
        </is>
      </c>
      <c r="D18" s="9" t="n">
        <v>38</v>
      </c>
      <c r="E18" s="6" t="inlineStr">
        <is>
          <t>Sponsor, operator or authority requirements evolve late</t>
        </is>
      </c>
      <c r="F18" s="6" t="inlineStr">
        <is>
          <t>Requirements change after baseline freeze</t>
        </is>
      </c>
      <c r="G18" s="6" t="inlineStr">
        <is>
          <t>Scope growth, redesign and approval delays</t>
        </is>
      </c>
      <c r="H18" s="6" t="inlineStr">
        <is>
          <t>Project Director</t>
        </is>
      </c>
      <c r="I18" s="6" t="inlineStr">
        <is>
          <t>Decision log, change board and stakeholder gates</t>
        </is>
      </c>
      <c r="J18" s="6" t="inlineStr">
        <is>
          <t>Late decision count increases</t>
        </is>
      </c>
      <c r="K18" s="6" t="inlineStr">
        <is>
          <t>Amber</t>
        </is>
      </c>
      <c r="L18" s="6" t="inlineStr">
        <is>
          <t>A1600</t>
        </is>
      </c>
      <c r="M18" s="6" t="inlineStr">
        <is>
          <t>Linked schedule activity</t>
        </is>
      </c>
      <c r="N18" s="6" t="inlineStr">
        <is>
          <t>01.08</t>
        </is>
      </c>
      <c r="O18" s="6" t="inlineStr">
        <is>
          <t>Linked cost package</t>
        </is>
      </c>
      <c r="P18" s="8" t="n">
        <v>0.055</v>
      </c>
      <c r="Q18" s="9" t="n">
        <v>8.800000000000001</v>
      </c>
    </row>
    <row r="19">
      <c r="A19" s="6" t="inlineStr">
        <is>
          <t>R-D04</t>
        </is>
      </c>
      <c r="B19" s="6" t="inlineStr">
        <is>
          <t>Generator / UPS lead time</t>
        </is>
      </c>
      <c r="C19" s="6" t="inlineStr">
        <is>
          <t>Delivery</t>
        </is>
      </c>
      <c r="D19" s="9" t="n">
        <v>42</v>
      </c>
      <c r="E19" s="6" t="inlineStr">
        <is>
          <t>Critical power equipment supply is constrained</t>
        </is>
      </c>
      <c r="F19" s="6" t="inlineStr">
        <is>
          <t>Power train delivery slips</t>
        </is>
      </c>
      <c r="G19" s="6" t="inlineStr">
        <is>
          <t>Critical path movement and acceleration premium</t>
        </is>
      </c>
      <c r="H19" s="6" t="inlineStr">
        <is>
          <t>Procurement Lead</t>
        </is>
      </c>
      <c r="I19" s="6" t="inlineStr">
        <is>
          <t>Early vendor reservation and dual-source strategy</t>
        </is>
      </c>
      <c r="J19" s="6" t="inlineStr">
        <is>
          <t>Vendor delivery warning</t>
        </is>
      </c>
      <c r="K19" s="6" t="inlineStr">
        <is>
          <t>Amber</t>
        </is>
      </c>
      <c r="L19" s="6" t="inlineStr">
        <is>
          <t>A1800</t>
        </is>
      </c>
      <c r="M19" s="6" t="inlineStr">
        <is>
          <t>Linked schedule activity</t>
        </is>
      </c>
      <c r="N19" s="6" t="inlineStr">
        <is>
          <t>01.02</t>
        </is>
      </c>
      <c r="O19" s="6" t="inlineStr">
        <is>
          <t>Linked cost package</t>
        </is>
      </c>
      <c r="P19" s="8" t="n">
        <v>0.048</v>
      </c>
      <c r="Q19" s="9" t="n">
        <v>9.699999999999999</v>
      </c>
    </row>
    <row r="20">
      <c r="A20" s="6" t="inlineStr">
        <is>
          <t>R-013</t>
        </is>
      </c>
      <c r="B20" s="6" t="inlineStr">
        <is>
          <t>Weather / environmental disruption</t>
        </is>
      </c>
      <c r="C20" s="6" t="inlineStr">
        <is>
          <t>Delivery</t>
        </is>
      </c>
      <c r="D20" s="9" t="n">
        <v>34</v>
      </c>
      <c r="E20" s="6" t="inlineStr">
        <is>
          <t>Extreme weather, environmental windows or site constraints not fully allowed</t>
        </is>
      </c>
      <c r="F20" s="6" t="inlineStr">
        <is>
          <t>Workface access or productivity is disrupted</t>
        </is>
      </c>
      <c r="G20" s="6" t="inlineStr">
        <is>
          <t>Delay, access cost and resequencing</t>
        </is>
      </c>
      <c r="H20" s="6" t="inlineStr">
        <is>
          <t>Construction Manager</t>
        </is>
      </c>
      <c r="I20" s="6" t="inlineStr">
        <is>
          <t>Weather calendars, contingency workfronts, protection strategy</t>
        </is>
      </c>
      <c r="J20" s="6" t="inlineStr">
        <is>
          <t>Weather downtime exceeds allowance</t>
        </is>
      </c>
      <c r="K20" s="6" t="inlineStr">
        <is>
          <t>Amber</t>
        </is>
      </c>
      <c r="L20" s="6" t="inlineStr">
        <is>
          <t>A1500</t>
        </is>
      </c>
      <c r="M20" s="6" t="inlineStr">
        <is>
          <t>Linked schedule activity</t>
        </is>
      </c>
      <c r="N20" s="6" t="inlineStr">
        <is>
          <t>01.07</t>
        </is>
      </c>
      <c r="O20" s="6" t="inlineStr">
        <is>
          <t>Linked cost package</t>
        </is>
      </c>
      <c r="P20" s="8" t="n">
        <v>0.039</v>
      </c>
      <c r="Q20" s="9" t="n">
        <v>18.1</v>
      </c>
    </row>
    <row r="21">
      <c r="A21" s="6" t="inlineStr">
        <is>
          <t>R-D03</t>
        </is>
      </c>
      <c r="B21" s="6" t="inlineStr">
        <is>
          <t>Liquid cooling vendor maturity</t>
        </is>
      </c>
      <c r="C21" s="6" t="inlineStr">
        <is>
          <t>Delivery</t>
        </is>
      </c>
      <c r="D21" s="9" t="n">
        <v>38</v>
      </c>
      <c r="E21" s="6" t="inlineStr">
        <is>
          <t>Cooling technology and supplier capacity are immature</t>
        </is>
      </c>
      <c r="F21" s="6" t="inlineStr">
        <is>
          <t>Vendor solution underperforms acceptance tests</t>
        </is>
      </c>
      <c r="G21" s="6" t="inlineStr">
        <is>
          <t>Capacity derate, redesign and schedule delay</t>
        </is>
      </c>
      <c r="H21" s="6" t="inlineStr">
        <is>
          <t>MEP Lead</t>
        </is>
      </c>
      <c r="I21" s="6" t="inlineStr">
        <is>
          <t>Prototype, vendor qualification and performance guarantee</t>
        </is>
      </c>
      <c r="J21" s="6" t="inlineStr">
        <is>
          <t>Cooling FAT failed</t>
        </is>
      </c>
      <c r="K21" s="6" t="inlineStr">
        <is>
          <t>Amber</t>
        </is>
      </c>
      <c r="L21" s="6" t="inlineStr">
        <is>
          <t>A1700</t>
        </is>
      </c>
      <c r="M21" s="6" t="inlineStr">
        <is>
          <t>Linked schedule activity</t>
        </is>
      </c>
      <c r="N21" s="6" t="inlineStr">
        <is>
          <t>01.01</t>
        </is>
      </c>
      <c r="O21" s="6" t="inlineStr">
        <is>
          <t>Linked cost package</t>
        </is>
      </c>
      <c r="P21" s="8" t="n">
        <v>0.031</v>
      </c>
      <c r="Q21" s="9" t="n">
        <v>20.2</v>
      </c>
    </row>
    <row r="22">
      <c r="A22" s="6" t="inlineStr">
        <is>
          <t>R-010</t>
        </is>
      </c>
      <c r="B22" s="6" t="inlineStr">
        <is>
          <t>Resource availability</t>
        </is>
      </c>
      <c r="C22" s="6" t="inlineStr">
        <is>
          <t>Delivery</t>
        </is>
      </c>
      <c r="D22" s="9" t="n">
        <v>22</v>
      </c>
      <c r="E22" s="6" t="inlineStr">
        <is>
          <t>Labour, specialist supervisors or commissioning teams constrained</t>
        </is>
      </c>
      <c r="F22" s="6" t="inlineStr">
        <is>
          <t>Required resources are unavailable when planned</t>
        </is>
      </c>
      <c r="G22" s="6" t="inlineStr">
        <is>
          <t>Productivity loss, resequencing and higher preliminaries</t>
        </is>
      </c>
      <c r="H22" s="6" t="inlineStr">
        <is>
          <t>Delivery Lead</t>
        </is>
      </c>
      <c r="I22" s="6" t="inlineStr">
        <is>
          <t>Resource loading, framework call-offs, labour strategy</t>
        </is>
      </c>
      <c r="J22" s="6" t="inlineStr">
        <is>
          <t>Resource histogram red flag</t>
        </is>
      </c>
      <c r="K22" s="6" t="inlineStr">
        <is>
          <t>Green</t>
        </is>
      </c>
      <c r="L22" s="6" t="inlineStr">
        <is>
          <t>A2000</t>
        </is>
      </c>
      <c r="M22" s="6" t="inlineStr">
        <is>
          <t>Linked schedule activity</t>
        </is>
      </c>
      <c r="N22" s="6" t="inlineStr">
        <is>
          <t>01.04</t>
        </is>
      </c>
      <c r="O22" s="6" t="inlineStr">
        <is>
          <t>Linked cost package</t>
        </is>
      </c>
      <c r="P22" s="8" t="n">
        <v>0.039</v>
      </c>
      <c r="Q22" s="9" t="n">
        <v>7.7</v>
      </c>
    </row>
    <row r="23">
      <c r="A23" s="6" t="inlineStr">
        <is>
          <t>R-018</t>
        </is>
      </c>
      <c r="B23" s="6" t="inlineStr">
        <is>
          <t>Interface ownership gap</t>
        </is>
      </c>
      <c r="C23" s="6" t="inlineStr">
        <is>
          <t>Delivery</t>
        </is>
      </c>
      <c r="D23" s="9" t="n">
        <v>26</v>
      </c>
      <c r="E23" s="6" t="inlineStr">
        <is>
          <t>RACI and package boundaries are unclear across packages</t>
        </is>
      </c>
      <c r="F23" s="6" t="inlineStr">
        <is>
          <t>Interface issue has no accountable owner</t>
        </is>
      </c>
      <c r="G23" s="6" t="inlineStr">
        <is>
          <t>Delay, claims and fragmented accountability</t>
        </is>
      </c>
      <c r="H23" s="6" t="inlineStr">
        <is>
          <t>Integration Manager</t>
        </is>
      </c>
      <c r="I23" s="6" t="inlineStr">
        <is>
          <t>Interface control documents and owner matrix</t>
        </is>
      </c>
      <c r="J23" s="6" t="inlineStr">
        <is>
          <t>Interface actions overdue</t>
        </is>
      </c>
      <c r="K23" s="6" t="inlineStr">
        <is>
          <t>Amber</t>
        </is>
      </c>
      <c r="L23" s="6" t="inlineStr">
        <is>
          <t>A2000</t>
        </is>
      </c>
      <c r="M23" s="6" t="inlineStr">
        <is>
          <t>Linked schedule activity</t>
        </is>
      </c>
      <c r="N23" s="6" t="inlineStr">
        <is>
          <t>01.01</t>
        </is>
      </c>
      <c r="O23" s="6" t="inlineStr">
        <is>
          <t>Linked cost package</t>
        </is>
      </c>
      <c r="P23" s="8" t="n">
        <v>0.029</v>
      </c>
      <c r="Q23" s="9" t="n">
        <v>12.2</v>
      </c>
    </row>
    <row r="24">
      <c r="A24" s="6" t="inlineStr">
        <is>
          <t>R-012</t>
        </is>
      </c>
      <c r="B24" s="6" t="inlineStr">
        <is>
          <t>Cyber / controls integration</t>
        </is>
      </c>
      <c r="C24" s="6" t="inlineStr">
        <is>
          <t>Delivery</t>
        </is>
      </c>
      <c r="D24" s="9" t="n">
        <v>30</v>
      </c>
      <c r="E24" s="6" t="inlineStr">
        <is>
          <t>Operational technology, control systems and network interfaces immature</t>
        </is>
      </c>
      <c r="F24" s="6" t="inlineStr">
        <is>
          <t>Controls integration fails testing</t>
        </is>
      </c>
      <c r="G24" s="6" t="inlineStr">
        <is>
          <t>Commissioning delay, resilience issue and operational risk</t>
        </is>
      </c>
      <c r="H24" s="6" t="inlineStr">
        <is>
          <t>Systems Lead</t>
        </is>
      </c>
      <c r="I24" s="6" t="inlineStr">
        <is>
          <t>Early cyber review, FAT/SAT plan, integration lab</t>
        </is>
      </c>
      <c r="J24" s="6" t="inlineStr">
        <is>
          <t>Controls defect trend increases</t>
        </is>
      </c>
      <c r="K24" s="6" t="inlineStr">
        <is>
          <t>Amber</t>
        </is>
      </c>
      <c r="L24" s="6" t="inlineStr">
        <is>
          <t>A1400</t>
        </is>
      </c>
      <c r="M24" s="6" t="inlineStr">
        <is>
          <t>Linked schedule activity</t>
        </is>
      </c>
      <c r="N24" s="6" t="inlineStr">
        <is>
          <t>01.06</t>
        </is>
      </c>
      <c r="O24" s="6" t="inlineStr">
        <is>
          <t>Linked cost package</t>
        </is>
      </c>
      <c r="P24" s="8" t="n">
        <v>0.024</v>
      </c>
      <c r="Q24" s="9" t="n">
        <v>14.1</v>
      </c>
    </row>
    <row r="25">
      <c r="A25" s="6" t="inlineStr">
        <is>
          <t>R-016</t>
        </is>
      </c>
      <c r="B25" s="6" t="inlineStr">
        <is>
          <t>Commissioning readiness gap</t>
        </is>
      </c>
      <c r="C25" s="6" t="inlineStr">
        <is>
          <t>Delivery</t>
        </is>
      </c>
      <c r="D25" s="9" t="n">
        <v>46</v>
      </c>
      <c r="E25" s="6" t="inlineStr">
        <is>
          <t>Incomplete test packs, operational readiness or training gaps</t>
        </is>
      </c>
      <c r="F25" s="6" t="inlineStr">
        <is>
          <t>Commissioning starts without readiness</t>
        </is>
      </c>
      <c r="G25" s="6" t="inlineStr">
        <is>
          <t>Repeated tests, handover delay and operational risk</t>
        </is>
      </c>
      <c r="H25" s="6" t="inlineStr">
        <is>
          <t>Commissioning Lead</t>
        </is>
      </c>
      <c r="I25" s="6" t="inlineStr">
        <is>
          <t>Readiness dashboard, integrated test plan, early ORAT</t>
        </is>
      </c>
      <c r="J25" s="6" t="inlineStr">
        <is>
          <t>Readiness score below threshold</t>
        </is>
      </c>
      <c r="K25" s="6" t="inlineStr">
        <is>
          <t>Red</t>
        </is>
      </c>
      <c r="L25" s="6" t="inlineStr">
        <is>
          <t>A1800</t>
        </is>
      </c>
      <c r="M25" s="6" t="inlineStr">
        <is>
          <t>Linked schedule activity</t>
        </is>
      </c>
      <c r="N25" s="6" t="inlineStr">
        <is>
          <t>01.10</t>
        </is>
      </c>
      <c r="O25" s="6" t="inlineStr">
        <is>
          <t>Linked cost package</t>
        </is>
      </c>
      <c r="P25" s="8" t="n">
        <v>0.022</v>
      </c>
      <c r="Q25" s="9" t="n">
        <v>16.1</v>
      </c>
    </row>
    <row r="26">
      <c r="A26" s="6" t="inlineStr">
        <is>
          <t>R-017</t>
        </is>
      </c>
      <c r="B26" s="6" t="inlineStr">
        <is>
          <t>Data / estimate basis weakness</t>
        </is>
      </c>
      <c r="C26" s="6" t="inlineStr">
        <is>
          <t>Delivery</t>
        </is>
      </c>
      <c r="D26" s="9" t="n">
        <v>22</v>
      </c>
      <c r="E26" s="6" t="inlineStr">
        <is>
          <t>Estimate source data, quantities or benchmarks are incomplete</t>
        </is>
      </c>
      <c r="F26" s="6" t="inlineStr">
        <is>
          <t>Baseline cannot be defended under challenge</t>
        </is>
      </c>
      <c r="G26" s="6" t="inlineStr">
        <is>
          <t>Confidence reduction and rework of cost plan</t>
        </is>
      </c>
      <c r="H26" s="6" t="inlineStr">
        <is>
          <t>Cost Lead</t>
        </is>
      </c>
      <c r="I26" s="6" t="inlineStr">
        <is>
          <t>Assumption register, benchmark evidence, quantity validation</t>
        </is>
      </c>
      <c r="J26" s="6" t="inlineStr">
        <is>
          <t>Unknown allowance exceeds threshold</t>
        </is>
      </c>
      <c r="K26" s="6" t="inlineStr">
        <is>
          <t>Green</t>
        </is>
      </c>
      <c r="L26" s="6" t="inlineStr">
        <is>
          <t>A1900</t>
        </is>
      </c>
      <c r="M26" s="6" t="inlineStr">
        <is>
          <t>Linked schedule activity</t>
        </is>
      </c>
      <c r="N26" s="6" t="inlineStr">
        <is>
          <t>01.11</t>
        </is>
      </c>
      <c r="O26" s="6" t="inlineStr">
        <is>
          <t>Linked cost package</t>
        </is>
      </c>
      <c r="P26" s="8" t="n">
        <v>0.018</v>
      </c>
      <c r="Q26" s="9" t="n">
        <v>9</v>
      </c>
    </row>
    <row r="27">
      <c r="A27" s="6" t="inlineStr">
        <is>
          <t>R-011</t>
        </is>
      </c>
      <c r="B27" s="6" t="inlineStr">
        <is>
          <t>Quality failure / rework</t>
        </is>
      </c>
      <c r="C27" s="6" t="inlineStr">
        <is>
          <t>Delivery</t>
        </is>
      </c>
      <c r="D27" s="9" t="n">
        <v>26</v>
      </c>
      <c r="E27" s="6" t="inlineStr">
        <is>
          <t>Installation quality, vendor QA or inspection regime below need</t>
        </is>
      </c>
      <c r="F27" s="6" t="inlineStr">
        <is>
          <t>Inspection failure triggers rework</t>
        </is>
      </c>
      <c r="G27" s="6" t="inlineStr">
        <is>
          <t>Rework cost, schedule delay and confidence loss</t>
        </is>
      </c>
      <c r="H27" s="6" t="inlineStr">
        <is>
          <t>Quality Manager</t>
        </is>
      </c>
      <c r="I27" s="6" t="inlineStr">
        <is>
          <t>ITPs, hold points, vendor QA, right-first-time reviews</t>
        </is>
      </c>
      <c r="J27" s="6" t="inlineStr">
        <is>
          <t>NCR trend increases</t>
        </is>
      </c>
      <c r="K27" s="6" t="inlineStr">
        <is>
          <t>Amber</t>
        </is>
      </c>
      <c r="L27" s="6" t="inlineStr">
        <is>
          <t>A2100</t>
        </is>
      </c>
      <c r="M27" s="6" t="inlineStr">
        <is>
          <t>Linked schedule activity</t>
        </is>
      </c>
      <c r="N27" s="6" t="inlineStr">
        <is>
          <t>01.05</t>
        </is>
      </c>
      <c r="O27" s="6" t="inlineStr">
        <is>
          <t>Linked cost package</t>
        </is>
      </c>
      <c r="P27" s="8" t="n">
        <v>0.015</v>
      </c>
      <c r="Q27" s="9" t="n">
        <v>10.7</v>
      </c>
    </row>
  </sheetData>
  <mergeCells count="1">
    <mergeCell ref="A1:Q1"/>
  </mergeCells>
  <conditionalFormatting sqref="K6:K27">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6.32</v>
      </c>
    </row>
    <row r="7">
      <c r="A7" s="6" t="n">
        <v>5</v>
      </c>
      <c r="B7" s="8" t="n">
        <v>6.56</v>
      </c>
    </row>
    <row r="8">
      <c r="A8" s="6" t="n">
        <v>10</v>
      </c>
      <c r="B8" s="8" t="n">
        <v>6.8</v>
      </c>
    </row>
    <row r="9">
      <c r="A9" s="6" t="n">
        <v>20</v>
      </c>
      <c r="B9" s="8" t="n">
        <v>7.21</v>
      </c>
    </row>
    <row r="10">
      <c r="A10" s="6" t="n">
        <v>30</v>
      </c>
      <c r="B10" s="8" t="n">
        <v>7.53</v>
      </c>
    </row>
    <row r="11">
      <c r="A11" s="6" t="n">
        <v>40</v>
      </c>
      <c r="B11" s="8" t="n">
        <v>7.86</v>
      </c>
    </row>
    <row r="12">
      <c r="A12" s="6" t="n">
        <v>50</v>
      </c>
      <c r="B12" s="8" t="n">
        <v>8.1</v>
      </c>
    </row>
    <row r="13">
      <c r="A13" s="6" t="n">
        <v>60</v>
      </c>
      <c r="B13" s="8" t="n">
        <v>8.59</v>
      </c>
    </row>
    <row r="14">
      <c r="A14" s="6" t="n">
        <v>70</v>
      </c>
      <c r="B14" s="8" t="n">
        <v>9.31</v>
      </c>
    </row>
    <row r="15">
      <c r="A15" s="6" t="n">
        <v>80</v>
      </c>
      <c r="B15" s="8" t="n">
        <v>10.53</v>
      </c>
    </row>
    <row r="16">
      <c r="A16" s="6" t="n">
        <v>90</v>
      </c>
      <c r="B16" s="8" t="n">
        <v>11.91</v>
      </c>
    </row>
    <row r="17">
      <c r="A17" s="6" t="n">
        <v>95</v>
      </c>
      <c r="B17" s="8" t="n">
        <v>12.8</v>
      </c>
    </row>
    <row r="18">
      <c r="A18" s="6" t="n">
        <v>99</v>
      </c>
      <c r="B18" s="8" t="n">
        <v>13.93</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54</v>
      </c>
    </row>
    <row r="7">
      <c r="A7" s="6" t="n">
        <v>5</v>
      </c>
      <c r="B7" s="9" t="n">
        <v>55</v>
      </c>
    </row>
    <row r="8">
      <c r="A8" s="6" t="n">
        <v>10</v>
      </c>
      <c r="B8" s="9" t="n">
        <v>57</v>
      </c>
    </row>
    <row r="9">
      <c r="A9" s="6" t="n">
        <v>20</v>
      </c>
      <c r="B9" s="9" t="n">
        <v>59</v>
      </c>
    </row>
    <row r="10">
      <c r="A10" s="6" t="n">
        <v>30</v>
      </c>
      <c r="B10" s="9" t="n">
        <v>62</v>
      </c>
    </row>
    <row r="11">
      <c r="A11" s="6" t="n">
        <v>40</v>
      </c>
      <c r="B11" s="9" t="n">
        <v>64</v>
      </c>
    </row>
    <row r="12">
      <c r="A12" s="6" t="n">
        <v>50</v>
      </c>
      <c r="B12" s="9" t="n">
        <v>66</v>
      </c>
    </row>
    <row r="13">
      <c r="A13" s="6" t="n">
        <v>60</v>
      </c>
      <c r="B13" s="9" t="n">
        <v>70</v>
      </c>
    </row>
    <row r="14">
      <c r="A14" s="6" t="n">
        <v>70</v>
      </c>
      <c r="B14" s="9" t="n">
        <v>76</v>
      </c>
    </row>
    <row r="15">
      <c r="A15" s="6" t="n">
        <v>80</v>
      </c>
      <c r="B15" s="9" t="n">
        <v>86</v>
      </c>
    </row>
    <row r="16">
      <c r="A16" s="6" t="n">
        <v>90</v>
      </c>
      <c r="B16" s="9" t="n">
        <v>97</v>
      </c>
    </row>
    <row r="17">
      <c r="A17" s="6" t="n">
        <v>95</v>
      </c>
      <c r="B17" s="9" t="n">
        <v>104</v>
      </c>
    </row>
    <row r="18">
      <c r="A18" s="6" t="n">
        <v>99</v>
      </c>
      <c r="B18" s="9" t="n">
        <v>114</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Grid connection delay</t>
        </is>
      </c>
      <c r="C6" s="6" t="inlineStr">
        <is>
          <t>01.04</t>
        </is>
      </c>
      <c r="D6" s="8" t="n">
        <v>0.504</v>
      </c>
      <c r="E6" s="6" t="inlineStr">
        <is>
          <t>Secure grid agreement, temporary power strategy, early equipment orders</t>
        </is>
      </c>
    </row>
    <row r="7">
      <c r="A7" s="6" t="n">
        <v>2</v>
      </c>
      <c r="B7" s="6" t="inlineStr">
        <is>
          <t>Market escalation</t>
        </is>
      </c>
      <c r="C7" s="6" t="inlineStr">
        <is>
          <t>02.02</t>
        </is>
      </c>
      <c r="D7" s="8" t="n">
        <v>0.364</v>
      </c>
      <c r="E7" s="6" t="inlineStr">
        <is>
          <t>Early procurement, index-linked allowances, market testing, FX strategy</t>
        </is>
      </c>
    </row>
    <row r="8">
      <c r="A8" s="6" t="n">
        <v>3</v>
      </c>
      <c r="B8" s="6" t="inlineStr">
        <is>
          <t>Design maturity gap</t>
        </is>
      </c>
      <c r="C8" s="6" t="inlineStr">
        <is>
          <t>03.01</t>
        </is>
      </c>
      <c r="D8" s="8" t="n">
        <v>0.276</v>
      </c>
      <c r="E8" s="6" t="inlineStr">
        <is>
          <t>Design maturity gates, independent review, assumption register</t>
        </is>
      </c>
    </row>
    <row r="9">
      <c r="A9" s="6" t="n">
        <v>4</v>
      </c>
      <c r="B9" s="6" t="inlineStr">
        <is>
          <t>Scope growth</t>
        </is>
      </c>
      <c r="C9" s="6" t="inlineStr">
        <is>
          <t>02.01</t>
        </is>
      </c>
      <c r="D9" s="8" t="n">
        <v>0.272</v>
      </c>
      <c r="E9" s="6" t="inlineStr">
        <is>
          <t>Freeze scope baseline, change board, value gates, client decision log</t>
        </is>
      </c>
    </row>
    <row r="10">
      <c r="A10" s="6" t="n">
        <v>5</v>
      </c>
      <c r="B10" s="6" t="inlineStr">
        <is>
          <t>Cooling system capacity</t>
        </is>
      </c>
      <c r="C10" s="6" t="inlineStr">
        <is>
          <t>01.05</t>
        </is>
      </c>
      <c r="D10" s="8" t="n">
        <v>0.233</v>
      </c>
      <c r="E10" s="6" t="inlineStr">
        <is>
          <t>Thermal modelling, supplier validation, early performance test</t>
        </is>
      </c>
    </row>
    <row r="11">
      <c r="A11" s="6" t="n">
        <v>6</v>
      </c>
      <c r="B11" s="6" t="inlineStr">
        <is>
          <t>Productivity underperformance</t>
        </is>
      </c>
      <c r="C11" s="6" t="inlineStr">
        <is>
          <t>03.01</t>
        </is>
      </c>
      <c r="D11" s="8" t="n">
        <v>0.226</v>
      </c>
      <c r="E11" s="6" t="inlineStr">
        <is>
          <t>Package productivity controls, daily planning, earned value cadence</t>
        </is>
      </c>
    </row>
    <row r="12">
      <c r="A12" s="6" t="n">
        <v>7</v>
      </c>
      <c r="B12" s="6" t="inlineStr">
        <is>
          <t>Supply chain delay</t>
        </is>
      </c>
      <c r="C12" s="6" t="inlineStr">
        <is>
          <t>03.01</t>
        </is>
      </c>
      <c r="D12" s="8" t="n">
        <v>0.226</v>
      </c>
      <c r="E12" s="6" t="inlineStr">
        <is>
          <t>Alternate suppliers, early orders, expediting, framework options</t>
        </is>
      </c>
    </row>
    <row r="13">
      <c r="A13" s="6" t="n">
        <v>8</v>
      </c>
      <c r="B13" s="6" t="inlineStr">
        <is>
          <t>Interface misalignment</t>
        </is>
      </c>
      <c r="C13" s="6" t="inlineStr">
        <is>
          <t>03.01</t>
        </is>
      </c>
      <c r="D13" s="8" t="n">
        <v>0.192</v>
      </c>
      <c r="E13" s="6" t="inlineStr">
        <is>
          <t>Interface control documents, weekly interface board, accountable owners</t>
        </is>
      </c>
    </row>
    <row r="14">
      <c r="A14" s="6" t="n">
        <v>9</v>
      </c>
      <c r="B14" s="6" t="inlineStr">
        <is>
          <t>Commissioning delay</t>
        </is>
      </c>
      <c r="C14" s="6" t="inlineStr">
        <is>
          <t>03.01</t>
        </is>
      </c>
      <c r="D14" s="8" t="n">
        <v>0.155</v>
      </c>
      <c r="E14" s="6" t="inlineStr">
        <is>
          <t>Commissioning readiness plan, early test packs, digital systems integration</t>
        </is>
      </c>
    </row>
    <row r="15">
      <c r="A15" s="6" t="n">
        <v>10</v>
      </c>
      <c r="B15" s="6" t="inlineStr">
        <is>
          <t>Permits / approvals delay</t>
        </is>
      </c>
      <c r="C15" s="6" t="inlineStr">
        <is>
          <t>03.01</t>
        </is>
      </c>
      <c r="D15" s="8" t="n">
        <v>0.113</v>
      </c>
      <c r="E15" s="6" t="inlineStr">
        <is>
          <t>Authority plan, consent tracker, early submissions, stakeholder map</t>
        </is>
      </c>
    </row>
    <row r="16">
      <c r="A16" s="6" t="n">
        <v>11</v>
      </c>
      <c r="B16" s="6" t="inlineStr">
        <is>
          <t>Funding / approval gate delay</t>
        </is>
      </c>
      <c r="C16" s="6" t="inlineStr">
        <is>
          <t>01.09</t>
        </is>
      </c>
      <c r="D16" s="8" t="n">
        <v>0.075</v>
      </c>
      <c r="E16" s="6" t="inlineStr">
        <is>
          <t>Approval roadmap, early board papers, contingency approvals</t>
        </is>
      </c>
    </row>
    <row r="17">
      <c r="A17" s="6" t="n">
        <v>12</v>
      </c>
      <c r="B17" s="6" t="inlineStr">
        <is>
          <t>Commercial claims escalation</t>
        </is>
      </c>
      <c r="C17" s="6" t="inlineStr">
        <is>
          <t>01.03</t>
        </is>
      </c>
      <c r="D17" s="8" t="n">
        <v>0.067</v>
      </c>
      <c r="E17" s="6" t="inlineStr">
        <is>
          <t>Tight change control, entitlement reviews, dispute avoidance board</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Grid connection delay</t>
        </is>
      </c>
      <c r="C6" s="6" t="inlineStr">
        <is>
          <t>A1400</t>
        </is>
      </c>
      <c r="D6" s="9" t="n">
        <v>46.8</v>
      </c>
      <c r="E6" s="6" t="inlineStr">
        <is>
          <t>Secure grid agreement, temporary power strategy, early equipment orders</t>
        </is>
      </c>
    </row>
    <row r="7">
      <c r="A7" s="6" t="n">
        <v>2</v>
      </c>
      <c r="B7" s="6" t="inlineStr">
        <is>
          <t>Permits / approvals delay</t>
        </is>
      </c>
      <c r="C7" s="6" t="inlineStr">
        <is>
          <t>A1800</t>
        </is>
      </c>
      <c r="D7" s="9" t="n">
        <v>24.5</v>
      </c>
      <c r="E7" s="6" t="inlineStr">
        <is>
          <t>Authority plan, consent tracker, early submissions, stakeholder map</t>
        </is>
      </c>
    </row>
    <row r="8">
      <c r="A8" s="6" t="n">
        <v>3</v>
      </c>
      <c r="B8" s="6" t="inlineStr">
        <is>
          <t>Liquid cooling vendor maturity</t>
        </is>
      </c>
      <c r="C8" s="6" t="inlineStr">
        <is>
          <t>A1700</t>
        </is>
      </c>
      <c r="D8" s="9" t="n">
        <v>20.2</v>
      </c>
      <c r="E8" s="6" t="inlineStr">
        <is>
          <t>Prototype, vendor qualification and performance guarantee</t>
        </is>
      </c>
    </row>
    <row r="9">
      <c r="A9" s="6" t="n">
        <v>4</v>
      </c>
      <c r="B9" s="6" t="inlineStr">
        <is>
          <t>Scope growth</t>
        </is>
      </c>
      <c r="C9" s="6" t="inlineStr">
        <is>
          <t>A1600</t>
        </is>
      </c>
      <c r="D9" s="9" t="n">
        <v>18.9</v>
      </c>
      <c r="E9" s="6" t="inlineStr">
        <is>
          <t>Freeze scope baseline, change board, value gates, client decision log</t>
        </is>
      </c>
    </row>
    <row r="10">
      <c r="A10" s="6" t="n">
        <v>5</v>
      </c>
      <c r="B10" s="6" t="inlineStr">
        <is>
          <t>Weather / environmental disruption</t>
        </is>
      </c>
      <c r="C10" s="6" t="inlineStr">
        <is>
          <t>A1500</t>
        </is>
      </c>
      <c r="D10" s="9" t="n">
        <v>18.1</v>
      </c>
      <c r="E10" s="6" t="inlineStr">
        <is>
          <t>Weather calendars, contingency workfronts, protection strategy</t>
        </is>
      </c>
    </row>
    <row r="11">
      <c r="A11" s="6" t="n">
        <v>6</v>
      </c>
      <c r="B11" s="6" t="inlineStr">
        <is>
          <t>Productivity underperformance</t>
        </is>
      </c>
      <c r="C11" s="6" t="inlineStr">
        <is>
          <t>A2100</t>
        </is>
      </c>
      <c r="D11" s="9" t="n">
        <v>17.5</v>
      </c>
      <c r="E11" s="6" t="inlineStr">
        <is>
          <t>Package productivity controls, daily planning, earned value cadence</t>
        </is>
      </c>
    </row>
    <row r="12">
      <c r="A12" s="6" t="n">
        <v>7</v>
      </c>
      <c r="B12" s="6" t="inlineStr">
        <is>
          <t>Design maturity gap</t>
        </is>
      </c>
      <c r="C12" s="6" t="inlineStr">
        <is>
          <t>A1900</t>
        </is>
      </c>
      <c r="D12" s="9" t="n">
        <v>17.1</v>
      </c>
      <c r="E12" s="6" t="inlineStr">
        <is>
          <t>Design maturity gates, independent review, assumption register</t>
        </is>
      </c>
    </row>
    <row r="13">
      <c r="A13" s="6" t="n">
        <v>8</v>
      </c>
      <c r="B13" s="6" t="inlineStr">
        <is>
          <t>Cooling system capacity</t>
        </is>
      </c>
      <c r="C13" s="6" t="inlineStr">
        <is>
          <t>A1500</t>
        </is>
      </c>
      <c r="D13" s="9" t="n">
        <v>16.2</v>
      </c>
      <c r="E13" s="6" t="inlineStr">
        <is>
          <t>Thermal modelling, supplier validation, early performance test</t>
        </is>
      </c>
    </row>
    <row r="14">
      <c r="A14" s="6" t="n">
        <v>9</v>
      </c>
      <c r="B14" s="6" t="inlineStr">
        <is>
          <t>Commissioning readiness gap</t>
        </is>
      </c>
      <c r="C14" s="6" t="inlineStr">
        <is>
          <t>A1800</t>
        </is>
      </c>
      <c r="D14" s="9" t="n">
        <v>16.1</v>
      </c>
      <c r="E14" s="6" t="inlineStr">
        <is>
          <t>Readiness dashboard, integrated test plan, early ORAT</t>
        </is>
      </c>
    </row>
    <row r="15">
      <c r="A15" s="6" t="n">
        <v>10</v>
      </c>
      <c r="B15" s="6" t="inlineStr">
        <is>
          <t>Supply chain delay</t>
        </is>
      </c>
      <c r="C15" s="6" t="inlineStr">
        <is>
          <t>A2000</t>
        </is>
      </c>
      <c r="D15" s="9" t="n">
        <v>16</v>
      </c>
      <c r="E15" s="6" t="inlineStr">
        <is>
          <t>Alternate suppliers, early orders, expediting, framework options</t>
        </is>
      </c>
    </row>
    <row r="16">
      <c r="A16" s="6" t="n">
        <v>11</v>
      </c>
      <c r="B16" s="6" t="inlineStr">
        <is>
          <t>Cyber / controls integration</t>
        </is>
      </c>
      <c r="C16" s="6" t="inlineStr">
        <is>
          <t>A1400</t>
        </is>
      </c>
      <c r="D16" s="9" t="n">
        <v>14.1</v>
      </c>
      <c r="E16" s="6" t="inlineStr">
        <is>
          <t>Early cyber review, FAT/SAT plan, integration lab</t>
        </is>
      </c>
    </row>
    <row r="17">
      <c r="A17" s="6" t="n">
        <v>12</v>
      </c>
      <c r="B17" s="6" t="inlineStr">
        <is>
          <t>Commercial claims escalation</t>
        </is>
      </c>
      <c r="C17" s="6" t="inlineStr">
        <is>
          <t>A1900</t>
        </is>
      </c>
      <c r="D17" s="9" t="n">
        <v>13.4</v>
      </c>
      <c r="E17" s="6" t="inlineStr">
        <is>
          <t>Tight change control, entitlement reviews, dispute avoidance board</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3</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13</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10</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26</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10</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3</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2</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3</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3</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5</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6</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4</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7</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6</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5</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15</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7</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4</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2</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3</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3</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5</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6</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4</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7</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6</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5</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15</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7</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4</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2</v>
      </c>
      <c r="G36" s="6" t="inlineStr">
        <is>
          <t>No</t>
        </is>
      </c>
      <c r="H36" s="6" t="inlineStr">
        <is>
          <t>Duration derived from sector schedule model, duration reflects utility energisation, transformer/switchgear procurement, integrated systems testing and phased data-hall commissioning..</t>
        </is>
      </c>
    </row>
    <row r="37">
      <c r="A37" s="6" t="inlineStr">
        <is>
          <t>4</t>
        </is>
      </c>
      <c r="B37" s="6" t="inlineStr">
        <is>
          <t>A1100</t>
        </is>
      </c>
      <c r="C37" s="6" t="inlineStr">
        <is>
          <t>Business Case</t>
        </is>
      </c>
      <c r="D37" s="6" t="inlineStr">
        <is>
          <t>Strategic brief, funding and approval</t>
        </is>
      </c>
      <c r="E37" s="6" t="inlineStr">
        <is>
          <t>A1000</t>
        </is>
      </c>
      <c r="F37" s="9" t="n">
        <v>3</v>
      </c>
      <c r="G37" s="6" t="inlineStr">
        <is>
          <t>No</t>
        </is>
      </c>
      <c r="H37" s="6" t="inlineStr">
        <is>
          <t>Duration derived from sector schedule model, duration reflects utility energisation, transformer/switchgear procurement, integrated systems testing and phased data-hall commissioning..</t>
        </is>
      </c>
    </row>
    <row r="38">
      <c r="A38" s="6" t="inlineStr">
        <is>
          <t>4</t>
        </is>
      </c>
      <c r="B38" s="6" t="inlineStr">
        <is>
          <t>A1200</t>
        </is>
      </c>
      <c r="C38" s="6" t="inlineStr">
        <is>
          <t>Scope</t>
        </is>
      </c>
      <c r="D38" s="6" t="inlineStr">
        <is>
          <t>Requirements definition and scope freeze</t>
        </is>
      </c>
      <c r="E38" s="6" t="inlineStr">
        <is>
          <t>A1100</t>
        </is>
      </c>
      <c r="F38" s="9" t="n">
        <v>3</v>
      </c>
      <c r="G38" s="6" t="inlineStr">
        <is>
          <t>No</t>
        </is>
      </c>
      <c r="H38" s="6" t="inlineStr">
        <is>
          <t>Duration derived from sector schedule model, duration reflects utility energisation, transformer/switchgear procurement, integrated systems testing and phased data-hall commissioning..</t>
        </is>
      </c>
    </row>
    <row r="39">
      <c r="A39" s="6" t="inlineStr">
        <is>
          <t>4</t>
        </is>
      </c>
      <c r="B39" s="6" t="inlineStr">
        <is>
          <t>A1300</t>
        </is>
      </c>
      <c r="C39" s="6" t="inlineStr">
        <is>
          <t>Design</t>
        </is>
      </c>
      <c r="D39" s="6" t="inlineStr">
        <is>
          <t>Concept / reference architecture</t>
        </is>
      </c>
      <c r="E39" s="6" t="inlineStr">
        <is>
          <t>A1200</t>
        </is>
      </c>
      <c r="F39" s="9" t="n">
        <v>5</v>
      </c>
      <c r="G39" s="6" t="inlineStr">
        <is>
          <t>No</t>
        </is>
      </c>
      <c r="H39" s="6" t="inlineStr">
        <is>
          <t>Duration derived from sector schedule model, duration reflects utility energisation, transformer/switchgear procurement, integrated systems testing and phased data-hall commissioning..</t>
        </is>
      </c>
    </row>
    <row r="40">
      <c r="A40" s="6" t="inlineStr">
        <is>
          <t>4</t>
        </is>
      </c>
      <c r="B40" s="6" t="inlineStr">
        <is>
          <t>A1400</t>
        </is>
      </c>
      <c r="C40" s="6" t="inlineStr">
        <is>
          <t>Consents</t>
        </is>
      </c>
      <c r="D40" s="6" t="inlineStr">
        <is>
          <t>Planning, regulatory and stakeholder approvals</t>
        </is>
      </c>
      <c r="E40" s="6" t="inlineStr">
        <is>
          <t>A1200</t>
        </is>
      </c>
      <c r="F40" s="9" t="n">
        <v>6</v>
      </c>
      <c r="G40" s="6" t="inlineStr">
        <is>
          <t>Yes</t>
        </is>
      </c>
      <c r="H40" s="6" t="inlineStr">
        <is>
          <t>Duration derived from sector schedule model, duration reflects utility energisation, transformer/switchgear procurement, integrated systems testing and phased data-hall commissioning..</t>
        </is>
      </c>
    </row>
    <row r="41">
      <c r="A41" s="6" t="inlineStr">
        <is>
          <t>4</t>
        </is>
      </c>
      <c r="B41" s="6" t="inlineStr">
        <is>
          <t>A1500</t>
        </is>
      </c>
      <c r="C41" s="6" t="inlineStr">
        <is>
          <t>Procurement</t>
        </is>
      </c>
      <c r="D41" s="6" t="inlineStr">
        <is>
          <t>Procurement strategy and tender packaging</t>
        </is>
      </c>
      <c r="E41" s="6" t="inlineStr">
        <is>
          <t>A1300</t>
        </is>
      </c>
      <c r="F41" s="9" t="n">
        <v>4</v>
      </c>
      <c r="G41" s="6" t="inlineStr">
        <is>
          <t>No</t>
        </is>
      </c>
      <c r="H41" s="6" t="inlineStr">
        <is>
          <t>Duration derived from sector schedule model, duration reflects utility energisation, transformer/switchgear procurement, integrated systems testing and phased data-hall commissioning..</t>
        </is>
      </c>
    </row>
    <row r="42">
      <c r="A42" s="6" t="inlineStr">
        <is>
          <t>4</t>
        </is>
      </c>
      <c r="B42" s="6" t="inlineStr">
        <is>
          <t>A1600</t>
        </is>
      </c>
      <c r="C42" s="6" t="inlineStr">
        <is>
          <t>Design</t>
        </is>
      </c>
      <c r="D42" s="6" t="inlineStr">
        <is>
          <t>Detailed design / IFC development</t>
        </is>
      </c>
      <c r="E42" s="6" t="inlineStr">
        <is>
          <t>A1300</t>
        </is>
      </c>
      <c r="F42" s="9" t="n">
        <v>7</v>
      </c>
      <c r="G42" s="6" t="inlineStr">
        <is>
          <t>No</t>
        </is>
      </c>
      <c r="H42" s="6" t="inlineStr">
        <is>
          <t>Duration derived from sector schedule model, duration reflects utility energisation, transformer/switchgear procurement, integrated systems testing and phased data-hall commissioning..</t>
        </is>
      </c>
    </row>
    <row r="43">
      <c r="A43" s="6" t="inlineStr">
        <is>
          <t>4</t>
        </is>
      </c>
      <c r="B43" s="6" t="inlineStr">
        <is>
          <t>A1700</t>
        </is>
      </c>
      <c r="C43" s="6" t="inlineStr">
        <is>
          <t>Procurement</t>
        </is>
      </c>
      <c r="D43" s="6" t="inlineStr">
        <is>
          <t>Long-lead procurement</t>
        </is>
      </c>
      <c r="E43" s="6" t="inlineStr">
        <is>
          <t>A1500</t>
        </is>
      </c>
      <c r="F43" s="9" t="n">
        <v>6</v>
      </c>
      <c r="G43" s="6" t="inlineStr">
        <is>
          <t>Yes</t>
        </is>
      </c>
      <c r="H43" s="6" t="inlineStr">
        <is>
          <t>Duration derived from sector schedule model, duration reflects utility energisation, transformer/switchgear procurement, integrated systems testing and phased data-hall commissioning..</t>
        </is>
      </c>
    </row>
    <row r="44">
      <c r="A44" s="6" t="inlineStr">
        <is>
          <t>4</t>
        </is>
      </c>
      <c r="B44" s="6" t="inlineStr">
        <is>
          <t>A1800</t>
        </is>
      </c>
      <c r="C44" s="6" t="inlineStr">
        <is>
          <t>Enabling</t>
        </is>
      </c>
      <c r="D44" s="6" t="inlineStr">
        <is>
          <t>Site / launch integration readiness</t>
        </is>
      </c>
      <c r="E44" s="6" t="inlineStr">
        <is>
          <t>A1400;A1500</t>
        </is>
      </c>
      <c r="F44" s="9" t="n">
        <v>5</v>
      </c>
      <c r="G44" s="6" t="inlineStr">
        <is>
          <t>No</t>
        </is>
      </c>
      <c r="H44" s="6" t="inlineStr">
        <is>
          <t>Duration derived from sector schedule model, duration reflects utility energisation, transformer/switchgear procurement, integrated systems testing and phased data-hall commissioning..</t>
        </is>
      </c>
    </row>
    <row r="45">
      <c r="A45" s="6" t="inlineStr">
        <is>
          <t>4</t>
        </is>
      </c>
      <c r="B45" s="6" t="inlineStr">
        <is>
          <t>A1900</t>
        </is>
      </c>
      <c r="C45" s="6" t="inlineStr">
        <is>
          <t>Delivery</t>
        </is>
      </c>
      <c r="D45" s="6" t="inlineStr">
        <is>
          <t>Main construction / fabrication / assembly</t>
        </is>
      </c>
      <c r="E45" s="6" t="inlineStr">
        <is>
          <t>A1600;A1700;A1800</t>
        </is>
      </c>
      <c r="F45" s="9" t="n">
        <v>15</v>
      </c>
      <c r="G45" s="6" t="inlineStr">
        <is>
          <t>Yes</t>
        </is>
      </c>
      <c r="H45" s="6" t="inlineStr">
        <is>
          <t>Duration reflects energisation, IST, phased data-hall readiness and resilience proving.</t>
        </is>
      </c>
    </row>
    <row r="46">
      <c r="A46" s="6" t="inlineStr">
        <is>
          <t>4</t>
        </is>
      </c>
      <c r="B46" s="6" t="inlineStr">
        <is>
          <t>A2000</t>
        </is>
      </c>
      <c r="C46" s="6" t="inlineStr">
        <is>
          <t>Integration</t>
        </is>
      </c>
      <c r="D46" s="6" t="inlineStr">
        <is>
          <t>Systems integration and testing</t>
        </is>
      </c>
      <c r="E46" s="6" t="inlineStr">
        <is>
          <t>A1900</t>
        </is>
      </c>
      <c r="F46" s="9" t="n">
        <v>7</v>
      </c>
      <c r="G46" s="6" t="inlineStr">
        <is>
          <t>Yes</t>
        </is>
      </c>
      <c r="H46" s="6" t="inlineStr">
        <is>
          <t>Duration derived from sector schedule model, duration reflects utility energisation, transformer/switchgear procurement, integrated systems testing and phased data-hall commissioning..</t>
        </is>
      </c>
    </row>
    <row r="47">
      <c r="A47" s="6" t="inlineStr">
        <is>
          <t>4</t>
        </is>
      </c>
      <c r="B47" s="6" t="inlineStr">
        <is>
          <t>A2100</t>
        </is>
      </c>
      <c r="C47" s="6" t="inlineStr">
        <is>
          <t>Handover</t>
        </is>
      </c>
      <c r="D47" s="6" t="inlineStr">
        <is>
          <t>Commissioning, operations readiness and closeout</t>
        </is>
      </c>
      <c r="E47" s="6" t="inlineStr">
        <is>
          <t>A2000</t>
        </is>
      </c>
      <c r="F47" s="9" t="n">
        <v>4</v>
      </c>
      <c r="G47" s="6" t="inlineStr">
        <is>
          <t>Yes</t>
        </is>
      </c>
      <c r="H47" s="6" t="inlineStr">
        <is>
          <t>Duration derived from sector schedule model, duration reflects utility energisation, transformer/switchgear procurement, integrated systems testing and phased data-hall commissioning..</t>
        </is>
      </c>
    </row>
    <row r="48">
      <c r="A48" s="6" t="inlineStr">
        <is>
          <t>4</t>
        </is>
      </c>
      <c r="B48" s="6" t="inlineStr">
        <is>
          <t>P1000</t>
        </is>
      </c>
      <c r="C48" s="6" t="inlineStr">
        <is>
          <t>Package</t>
        </is>
      </c>
      <c r="D48" s="6" t="inlineStr">
        <is>
          <t>Grid connection</t>
        </is>
      </c>
      <c r="E48" s="6" t="inlineStr">
        <is>
          <t>A1900</t>
        </is>
      </c>
      <c r="F48" s="9" t="n">
        <v>2</v>
      </c>
      <c r="G48" s="6" t="inlineStr">
        <is>
          <t>Yes</t>
        </is>
      </c>
      <c r="H48" s="6" t="inlineStr">
        <is>
          <t>Duration derived from sector schedule model, duration reflects utility energisation, transformer/switchgear procurement, integrated systems testing and phased data-hall commissioning..</t>
        </is>
      </c>
    </row>
    <row r="49">
      <c r="A49" s="6" t="inlineStr">
        <is>
          <t>4</t>
        </is>
      </c>
      <c r="B49" s="6" t="inlineStr">
        <is>
          <t>P2000</t>
        </is>
      </c>
      <c r="C49" s="6" t="inlineStr">
        <is>
          <t>Package</t>
        </is>
      </c>
      <c r="D49" s="6" t="inlineStr">
        <is>
          <t>Data halls</t>
        </is>
      </c>
      <c r="E49" s="6" t="inlineStr">
        <is>
          <t>P1000</t>
        </is>
      </c>
      <c r="F49" s="9" t="n">
        <v>2</v>
      </c>
      <c r="G49" s="6" t="inlineStr">
        <is>
          <t>Yes</t>
        </is>
      </c>
      <c r="H49" s="6" t="inlineStr">
        <is>
          <t>Duration derived from sector schedule model, duration reflects utility energisation, transformer/switchgear procurement, integrated systems testing and phased data-hall commissioning..</t>
        </is>
      </c>
    </row>
    <row r="50">
      <c r="A50" s="6" t="inlineStr">
        <is>
          <t>4</t>
        </is>
      </c>
      <c r="B50" s="6" t="inlineStr">
        <is>
          <t>P3000</t>
        </is>
      </c>
      <c r="C50" s="6" t="inlineStr">
        <is>
          <t>Package</t>
        </is>
      </c>
      <c r="D50" s="6" t="inlineStr">
        <is>
          <t>Cooling plant</t>
        </is>
      </c>
      <c r="E50" s="6" t="inlineStr">
        <is>
          <t>P2000</t>
        </is>
      </c>
      <c r="F50" s="9" t="n">
        <v>2</v>
      </c>
      <c r="G50" s="6" t="inlineStr">
        <is>
          <t>Yes</t>
        </is>
      </c>
      <c r="H50" s="6" t="inlineStr">
        <is>
          <t>Duration derived from sector schedule model, duration reflects utility energisation, transformer/switchgear procurement, integrated systems testing and phased data-hall commissioning..</t>
        </is>
      </c>
    </row>
    <row r="51">
      <c r="A51" s="6" t="inlineStr">
        <is>
          <t>4</t>
        </is>
      </c>
      <c r="B51" s="6" t="inlineStr">
        <is>
          <t>P4000</t>
        </is>
      </c>
      <c r="C51" s="6" t="inlineStr">
        <is>
          <t>Package</t>
        </is>
      </c>
      <c r="D51" s="6" t="inlineStr">
        <is>
          <t>Power train</t>
        </is>
      </c>
      <c r="E51" s="6" t="inlineStr">
        <is>
          <t>P3000</t>
        </is>
      </c>
      <c r="F51" s="9" t="n">
        <v>2</v>
      </c>
      <c r="G51" s="6" t="inlineStr">
        <is>
          <t>Yes</t>
        </is>
      </c>
      <c r="H51" s="6" t="inlineStr">
        <is>
          <t>Duration derived from sector schedule model, duration reflects utility energisation, transformer/switchgear procurement, integrated systems testing and phased data-hall commissioning..</t>
        </is>
      </c>
    </row>
    <row r="52">
      <c r="A52" s="6" t="inlineStr">
        <is>
          <t>4</t>
        </is>
      </c>
      <c r="B52" s="6" t="inlineStr">
        <is>
          <t>P5000</t>
        </is>
      </c>
      <c r="C52" s="6" t="inlineStr">
        <is>
          <t>Package</t>
        </is>
      </c>
      <c r="D52" s="6" t="inlineStr">
        <is>
          <t>Controls and commissioning</t>
        </is>
      </c>
      <c r="E52" s="6" t="inlineStr">
        <is>
          <t>P4000</t>
        </is>
      </c>
      <c r="F52" s="9" t="n">
        <v>2</v>
      </c>
      <c r="G52" s="6" t="inlineStr">
        <is>
          <t>Yes</t>
        </is>
      </c>
      <c r="H52" s="6" t="inlineStr">
        <is>
          <t>Duration derived from sector schedule model, duration reflects utility energisation, transformer/switchgear procurement, integrated systems testing and phased data-hall commissioning..</t>
        </is>
      </c>
    </row>
    <row r="53">
      <c r="A53" s="6" t="inlineStr">
        <is>
          <t>5</t>
        </is>
      </c>
      <c r="B53" s="6" t="inlineStr">
        <is>
          <t>A1000</t>
        </is>
      </c>
      <c r="C53" s="6" t="inlineStr">
        <is>
          <t>Governance</t>
        </is>
      </c>
      <c r="D53" s="6" t="inlineStr">
        <is>
          <t>Project initiation / controls setup</t>
        </is>
      </c>
      <c r="E53" s="6" t="n"/>
      <c r="F53" s="9" t="n">
        <v>2</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3</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3</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5</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6</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4</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7</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6</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5</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15</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7</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4</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Grid connection</t>
        </is>
      </c>
      <c r="E65" s="6" t="inlineStr">
        <is>
          <t>A1900</t>
        </is>
      </c>
      <c r="F65" s="9" t="n">
        <v>2</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Grid connection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Grid connection - execute works</t>
        </is>
      </c>
      <c r="E67" s="6" t="inlineStr">
        <is>
          <t>P1100</t>
        </is>
      </c>
      <c r="F67" s="9" t="n">
        <v>1</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Grid connection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Data halls</t>
        </is>
      </c>
      <c r="E69" s="6" t="inlineStr">
        <is>
          <t>P1000</t>
        </is>
      </c>
      <c r="F69" s="9" t="n">
        <v>2</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Data halls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Data halls - execute works</t>
        </is>
      </c>
      <c r="E71" s="6" t="inlineStr">
        <is>
          <t>P2100</t>
        </is>
      </c>
      <c r="F71" s="9" t="n">
        <v>1</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Data halls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Cooling plant</t>
        </is>
      </c>
      <c r="E73" s="6" t="inlineStr">
        <is>
          <t>P2000</t>
        </is>
      </c>
      <c r="F73" s="9" t="n">
        <v>2</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Cooling plant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Cooling plant - execute works</t>
        </is>
      </c>
      <c r="E75" s="6" t="inlineStr">
        <is>
          <t>P3100</t>
        </is>
      </c>
      <c r="F75" s="9" t="n">
        <v>1</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Cooling plant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Power train</t>
        </is>
      </c>
      <c r="E77" s="6" t="inlineStr">
        <is>
          <t>P3000</t>
        </is>
      </c>
      <c r="F77" s="9" t="n">
        <v>2</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Power train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Power train - execute works</t>
        </is>
      </c>
      <c r="E79" s="6" t="inlineStr">
        <is>
          <t>P4100</t>
        </is>
      </c>
      <c r="F79" s="9" t="n">
        <v>1</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Power train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Controls and commissioning</t>
        </is>
      </c>
      <c r="E81" s="6" t="inlineStr">
        <is>
          <t>P4000</t>
        </is>
      </c>
      <c r="F81" s="9" t="n">
        <v>2</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Controls and commissioning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Controls and commissioning - execute works</t>
        </is>
      </c>
      <c r="E83" s="6" t="inlineStr">
        <is>
          <t>P5100</t>
        </is>
      </c>
      <c r="F83" s="9" t="n">
        <v>1</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Controls and commissioning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AI Data Centre Campus on headline progress alone.
The programme should be governed through utility energisation, transformer supply, liquid-cooling readiness and integrated systems testing. Current confidence (66%)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Shell, core and white-space progress look healthy.
CASEY view:
Energisation, cooling readiness and IST congestion govern revenue-ready capacity.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What is the true energisation date?
2. Which transformer or switchgear package controls first capacity?
3. Is liquid cooling commissioned or merely installed?
4. Where does IST congestion compress the plan?
5. Does acceleration buy capacity or create rework?</t>
        </is>
      </c>
    </row>
    <row r="5">
      <c r="A5" s="17" t="inlineStr">
        <is>
          <t>What The Board Is Really Deciding</t>
        </is>
      </c>
      <c r="B5" s="17" t="inlineStr">
        <is>
          <t>WHAT THE BOARD IS REALLY DECIDING
The board is not simply approving cost and schedule.
The board is accepting:
- exposure to utility energisation, transformer supply, liquid-cooling readiness and integrated systems testing
- the current evidence maturity position
- whether reserve is credible against P80/P90 behaviour
- whether management can recover if the governing constraint slips
Evidence required before unconditional approval:
- utility interconnect agreement
- transformer delivery certainty
- liquid-cooling commissioning evidence
- IST sequence
- energisation acceptance gates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"power availability and cooling/IST readiness lagged the declared construction position."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utility energisation, transformer supply, liquid-cooling readiness and integrated systems testing with auditable evidence.
2. Convert the weakest assumption into an owned mitigation with trigger, date, owner and residual exposure.
3. Re-run P80/P90 after evidence closure, not after narrative revision.
Fastest confidence unlock:
Close the first missing evidence item: utility interconnect agreement.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2026-05-24T16:47:42Z</dcterms:created>
  <dcterms:modified xmlns:dcterms="http://purl.org/dc/terms/" xmlns:xsi="http://www.w3.org/2001/XMLSchema-instance" xsi:type="dcterms:W3CDTF">2026-05-24T16:47:42Z</dcterms:modified>
</cp:coreProperties>
</file>