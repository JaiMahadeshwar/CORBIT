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 Risk Dashboard" sheetId="1" r:id="rId1"/>
    <sheet name="02 Full Risk Register" sheetId="2" r:id="rId2"/>
    <sheet name="03 QCRA Tornado" sheetId="3" r:id="rId3"/>
    <sheet name="04 QSRA Tornado" sheetId="4" r:id="rId4"/>
  </sheets>
  <calcPr calcId="124519" fullCalcOnLoad="1"/>
</workbook>
</file>

<file path=xl/sharedStrings.xml><?xml version="1.0" encoding="utf-8"?>
<sst xmlns="http://schemas.openxmlformats.org/spreadsheetml/2006/main" count="381" uniqueCount="220">
  <si>
    <t>CASEY PLATINUM RISK REGISTER</t>
  </si>
  <si>
    <t>Advanced Semiconductor Fab | Base scenario | 18 risks</t>
  </si>
  <si>
    <t>Metric</t>
  </si>
  <si>
    <t>Value</t>
  </si>
  <si>
    <t>Total risks</t>
  </si>
  <si>
    <t>Red risks</t>
  </si>
  <si>
    <t>Amber risks</t>
  </si>
  <si>
    <t>Top QCRA driver</t>
  </si>
  <si>
    <t>Market escalation</t>
  </si>
  <si>
    <t>Top QSRA driver</t>
  </si>
  <si>
    <t>Permits / approvals delay</t>
  </si>
  <si>
    <t>ID</t>
  </si>
  <si>
    <t>Risk</t>
  </si>
  <si>
    <t>Category</t>
  </si>
  <si>
    <t>Likelihood %</t>
  </si>
  <si>
    <t>Cause</t>
  </si>
  <si>
    <t>Risk Event</t>
  </si>
  <si>
    <t>Impact Description</t>
  </si>
  <si>
    <t>Owner</t>
  </si>
  <si>
    <t>Mitigation / Response</t>
  </si>
  <si>
    <t>Trigger</t>
  </si>
  <si>
    <t>Residual</t>
  </si>
  <si>
    <t>Activity</t>
  </si>
  <si>
    <t>Activity Name</t>
  </si>
  <si>
    <t>CBS</t>
  </si>
  <si>
    <t>CBS Name</t>
  </si>
  <si>
    <t>QCRA Mean $B</t>
  </si>
  <si>
    <t>QSRA Mean Days</t>
  </si>
  <si>
    <t>Status</t>
  </si>
  <si>
    <t>R-002</t>
  </si>
  <si>
    <t>Commercial</t>
  </si>
  <si>
    <t>Supplier market tightness, inflation, FX and long procurement window</t>
  </si>
  <si>
    <t>Market escalation occurs or materialises during delivery.</t>
  </si>
  <si>
    <t>P50 cost becomes understated; commercial approvals or procurement strategy may need reset</t>
  </si>
  <si>
    <t>Commercial Lead</t>
  </si>
  <si>
    <t>Early procurement, index-linked allowances, market testing, FX strategy</t>
  </si>
  <si>
    <t>Index exceeds allowance by 3%</t>
  </si>
  <si>
    <t>Medium</t>
  </si>
  <si>
    <t>A1500</t>
  </si>
  <si>
    <t>Procurement strategy and tender packaging</t>
  </si>
  <si>
    <t>01.05</t>
  </si>
  <si>
    <t>Power and resilient utilities</t>
  </si>
  <si>
    <t>Open</t>
  </si>
  <si>
    <t>R-004</t>
  </si>
  <si>
    <t>Design maturity gap</t>
  </si>
  <si>
    <t>Technical</t>
  </si>
  <si>
    <t>Estimate is based on immature design, incomplete surveys or unresolved interfaces</t>
  </si>
  <si>
    <t>Design maturity gap occurs or materialises during delivery.</t>
  </si>
  <si>
    <t>Cost growth, quantity movement, rework and schedule resequencing</t>
  </si>
  <si>
    <t>Design Manager</t>
  </si>
  <si>
    <t>Design maturity gates, independent review, assumption register</t>
  </si>
  <si>
    <t>Design deliverables miss maturity gate</t>
  </si>
  <si>
    <t>A1700</t>
  </si>
  <si>
    <t>Long-lead procurement</t>
  </si>
  <si>
    <t>02.02</t>
  </si>
  <si>
    <t>PMO and controls</t>
  </si>
  <si>
    <t>R-001</t>
  </si>
  <si>
    <t>Scope growth</t>
  </si>
  <si>
    <t>Scope</t>
  </si>
  <si>
    <t>Ambiguous requirements, immature scope freeze and late stakeholder changes</t>
  </si>
  <si>
    <t>Scope growth occurs or materialises during delivery.</t>
  </si>
  <si>
    <t>Additional quantities, redesign, rework, procurement churn and board contingency drawdown</t>
  </si>
  <si>
    <t>Project Director</t>
  </si>
  <si>
    <t>Freeze scope baseline, change board, value gates, client decision log</t>
  </si>
  <si>
    <t>Scope change rate exceeds 2% of package value</t>
  </si>
  <si>
    <t>A1400</t>
  </si>
  <si>
    <t>Planning, regulatory and stakeholder approvals</t>
  </si>
  <si>
    <t>01.04</t>
  </si>
  <si>
    <t>UPW, chemicals and specialty gases</t>
  </si>
  <si>
    <t>R-006</t>
  </si>
  <si>
    <t>Productivity underperformance</t>
  </si>
  <si>
    <t>Delivery</t>
  </si>
  <si>
    <t>Access constraints, poor sequencing, labour scarcity or learning curve</t>
  </si>
  <si>
    <t>Productivity underperformance occurs or materialises during delivery.</t>
  </si>
  <si>
    <t>Extended duration, increased preliminaries and loss of float</t>
  </si>
  <si>
    <t>Delivery Lead</t>
  </si>
  <si>
    <t>Package productivity controls, daily planning, earned value cadence</t>
  </si>
  <si>
    <t>SPI/CPI deteriorates for two reporting periods</t>
  </si>
  <si>
    <t>A1900</t>
  </si>
  <si>
    <t>Main construction / fabrication / assembly</t>
  </si>
  <si>
    <t>03.01</t>
  </si>
  <si>
    <t>Risk reserve</t>
  </si>
  <si>
    <t>R-005</t>
  </si>
  <si>
    <t>Supply chain delay</t>
  </si>
  <si>
    <t>Procurement</t>
  </si>
  <si>
    <t>Long-lead equipment, constrained suppliers or late procurement release</t>
  </si>
  <si>
    <t>Supply chain delay occurs or materialises during delivery.</t>
  </si>
  <si>
    <t>Delayed installation, critical path movement and acceleration cost</t>
  </si>
  <si>
    <t>Procurement Lead</t>
  </si>
  <si>
    <t>Alternate suppliers, early orders, expediting, framework options</t>
  </si>
  <si>
    <t>Supplier promise date slips</t>
  </si>
  <si>
    <t>A1800</t>
  </si>
  <si>
    <t>Site / launch integration readiness</t>
  </si>
  <si>
    <t>R-008</t>
  </si>
  <si>
    <t>Interface misalignment</t>
  </si>
  <si>
    <t>Integration</t>
  </si>
  <si>
    <t>Multiple contractors, unclear interface ownership or late design coordination</t>
  </si>
  <si>
    <t>Interface misalignment occurs or materialises during delivery.</t>
  </si>
  <si>
    <t>Rework, claims, delay and fragmented accountability</t>
  </si>
  <si>
    <t>Integration Manager</t>
  </si>
  <si>
    <t>Interface control documents, weekly interface board, accountable owners</t>
  </si>
  <si>
    <t>Interface actions overdue</t>
  </si>
  <si>
    <t>Low</t>
  </si>
  <si>
    <t>A2100</t>
  </si>
  <si>
    <t>Commissioning, operations readiness and closeout</t>
  </si>
  <si>
    <t>R-007</t>
  </si>
  <si>
    <t>Commissioning delay</t>
  </si>
  <si>
    <t>Handover</t>
  </si>
  <si>
    <t>Incomplete readiness, software integration issues or defects during testing</t>
  </si>
  <si>
    <t>Commissioning delay occurs or materialises during delivery.</t>
  </si>
  <si>
    <t>Delayed handover, operational readiness slippage and liquidated damages exposure</t>
  </si>
  <si>
    <t>Commissioning Lead</t>
  </si>
  <si>
    <t>Commissioning readiness plan, early test packs, digital systems integration</t>
  </si>
  <si>
    <t>Test failures trend upward</t>
  </si>
  <si>
    <t>A2000</t>
  </si>
  <si>
    <t>Systems integration and testing</t>
  </si>
  <si>
    <t>R-003</t>
  </si>
  <si>
    <t>Regulatory</t>
  </si>
  <si>
    <t>Authority process, stakeholder objections or incomplete submissions</t>
  </si>
  <si>
    <t>Permits / approvals delay occurs or materialises during delivery.</t>
  </si>
  <si>
    <t>Critical path delay, extended preliminaries and potential redesign conditions</t>
  </si>
  <si>
    <t>Consents Lead</t>
  </si>
  <si>
    <t>Authority plan, consent tracker, early submissions, stakeholder map</t>
  </si>
  <si>
    <t>Consent milestone slips by 30 days</t>
  </si>
  <si>
    <t>A1600</t>
  </si>
  <si>
    <t>Detailed design / IFC development</t>
  </si>
  <si>
    <t>02.01</t>
  </si>
  <si>
    <t>Qualification and ramp-up</t>
  </si>
  <si>
    <t>R-013</t>
  </si>
  <si>
    <t>Weather / environmental disruption</t>
  </si>
  <si>
    <t>Extreme weather, environmental windows or site constraints not fully allowed</t>
  </si>
  <si>
    <t>Workface access or productivity is disrupted</t>
  </si>
  <si>
    <t>Delay, access cost and resequencing</t>
  </si>
  <si>
    <t>Construction Manager</t>
  </si>
  <si>
    <t>Weather calendars, contingency workfronts, protection strategy</t>
  </si>
  <si>
    <t>Weather downtime exceeds allowance</t>
  </si>
  <si>
    <t>Red</t>
  </si>
  <si>
    <t>Linked schedule activity</t>
  </si>
  <si>
    <t>01.03</t>
  </si>
  <si>
    <t>Linked cost package</t>
  </si>
  <si>
    <t>R-018</t>
  </si>
  <si>
    <t>Interface ownership gap</t>
  </si>
  <si>
    <t>RACI and package boundaries are unclear across packages</t>
  </si>
  <si>
    <t>Interface issue has no accountable owner</t>
  </si>
  <si>
    <t>Delay, claims and fragmented accountability</t>
  </si>
  <si>
    <t>Interface control documents and owner matrix</t>
  </si>
  <si>
    <t>Amber</t>
  </si>
  <si>
    <t>01.08</t>
  </si>
  <si>
    <t>R-009</t>
  </si>
  <si>
    <t>Commercial claims escalation</t>
  </si>
  <si>
    <t>Contract ambiguity, change volume and interface disputes</t>
  </si>
  <si>
    <t>Claims submitted above allowance</t>
  </si>
  <si>
    <t>Commercial pressure, management distraction and increased outturn cost</t>
  </si>
  <si>
    <t>Tight change control, entitlement reviews, dispute avoidance board</t>
  </si>
  <si>
    <t>Claim volume exceeds baseline</t>
  </si>
  <si>
    <t>01.10</t>
  </si>
  <si>
    <t>R-012</t>
  </si>
  <si>
    <t>Cyber / controls integration</t>
  </si>
  <si>
    <t>Operational technology, control systems and network interfaces immature</t>
  </si>
  <si>
    <t>Controls integration fails testing</t>
  </si>
  <si>
    <t>Commissioning delay, resilience issue and operational risk</t>
  </si>
  <si>
    <t>Systems Lead</t>
  </si>
  <si>
    <t>Early cyber review, FAT/SAT plan, integration lab</t>
  </si>
  <si>
    <t>Controls defect trend increases</t>
  </si>
  <si>
    <t>01.02</t>
  </si>
  <si>
    <t>R-017</t>
  </si>
  <si>
    <t>Data / estimate basis weakness</t>
  </si>
  <si>
    <t>Estimate source data, quantities or benchmarks are incomplete</t>
  </si>
  <si>
    <t>Baseline cannot be defended under challenge</t>
  </si>
  <si>
    <t>Confidence reduction and rework of cost plan</t>
  </si>
  <si>
    <t>Cost Lead</t>
  </si>
  <si>
    <t>Assumption register, benchmark evidence, quantity validation</t>
  </si>
  <si>
    <t>Unknown allowance exceeds threshold</t>
  </si>
  <si>
    <t>01.07</t>
  </si>
  <si>
    <t>R-014</t>
  </si>
  <si>
    <t>Stakeholder change</t>
  </si>
  <si>
    <t>Sponsor, operator or authority requirements evolve late</t>
  </si>
  <si>
    <t>Requirements change after baseline freeze</t>
  </si>
  <si>
    <t>Scope growth, redesign and approval delays</t>
  </si>
  <si>
    <t>Decision log, change board and stakeholder gates</t>
  </si>
  <si>
    <t>Late decision count increases</t>
  </si>
  <si>
    <t>Green</t>
  </si>
  <si>
    <t>R-011</t>
  </si>
  <si>
    <t>Quality failure / rework</t>
  </si>
  <si>
    <t>Installation quality, vendor QA or inspection regime below need</t>
  </si>
  <si>
    <t>Inspection failure triggers rework</t>
  </si>
  <si>
    <t>Rework cost, schedule delay and confidence loss</t>
  </si>
  <si>
    <t>Quality Manager</t>
  </si>
  <si>
    <t>ITPs, hold points, vendor QA, right-first-time reviews</t>
  </si>
  <si>
    <t>NCR trend increases</t>
  </si>
  <si>
    <t>01.01</t>
  </si>
  <si>
    <t>R-016</t>
  </si>
  <si>
    <t>Commissioning readiness gap</t>
  </si>
  <si>
    <t>Incomplete test packs, operational readiness or training gaps</t>
  </si>
  <si>
    <t>Commissioning starts without readiness</t>
  </si>
  <si>
    <t>Repeated tests, handover delay and operational risk</t>
  </si>
  <si>
    <t>Readiness dashboard, integrated test plan, early ORAT</t>
  </si>
  <si>
    <t>Readiness score below threshold</t>
  </si>
  <si>
    <t>01.06</t>
  </si>
  <si>
    <t>R-010</t>
  </si>
  <si>
    <t>Resource availability</t>
  </si>
  <si>
    <t>Labour, specialist supervisors or commissioning teams constrained</t>
  </si>
  <si>
    <t>Required resources are unavailable when planned</t>
  </si>
  <si>
    <t>Productivity loss, resequencing and higher preliminaries</t>
  </si>
  <si>
    <t>Resource loading, framework call-offs, labour strategy</t>
  </si>
  <si>
    <t>Resource histogram red flag</t>
  </si>
  <si>
    <t>01.11</t>
  </si>
  <si>
    <t>R-015</t>
  </si>
  <si>
    <t>Funding / approval gate delay</t>
  </si>
  <si>
    <t>Investment approvals or staged funding gates not aligned with procurement</t>
  </si>
  <si>
    <t>Capital release is delayed</t>
  </si>
  <si>
    <t>Procurement missed windows and schedule slippage</t>
  </si>
  <si>
    <t>Sponsor</t>
  </si>
  <si>
    <t>Approval roadmap, early board papers, contingency approvals</t>
  </si>
  <si>
    <t>Approval date slips</t>
  </si>
  <si>
    <t>Rank</t>
  </si>
  <si>
    <t>Driver</t>
  </si>
  <si>
    <t>Mean Cost $B</t>
  </si>
  <si>
    <t>Action</t>
  </si>
  <si>
    <t>Mean Days</t>
  </si>
</sst>
</file>

<file path=xl/styles.xml><?xml version="1.0" encoding="utf-8"?>
<styleSheet xmlns="http://schemas.openxmlformats.org/spreadsheetml/2006/main">
  <numFmts count="2">
    <numFmt numFmtId="164" formatCode="0.0"/>
    <numFmt numFmtId="165" formatCode="$#,##0.0B"/>
  </numFmts>
  <fonts count="4">
    <font>
      <sz val="11"/>
      <color theme="1"/>
      <name val="Calibri"/>
      <family val="2"/>
      <scheme val="minor"/>
    </font>
    <font>
      <b/>
      <sz val="20"/>
      <color rgb="FF0B1F33"/>
      <name val="Calibri"/>
      <family val="2"/>
      <scheme val="minor"/>
    </font>
    <font>
      <sz val="10"/>
      <color rgb="FF666666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rgb="FFD9E2EA"/>
      </left>
      <right style="thin">
        <color rgb="FFD9E2EA"/>
      </right>
      <top style="thin">
        <color rgb="FFD9E2EA"/>
      </top>
      <bottom style="thin">
        <color rgb="FFD9E2EA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3" borderId="1" xfId="0" applyFont="1" applyFill="1" applyBorder="1" applyAlignment="1">
      <alignment vertical="center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</cellXfs>
  <cellStyles count="1">
    <cellStyle name="Normal" xfId="0" builtinId="0"/>
  </cellStyles>
  <dxfs count="3">
    <dxf>
      <fill>
        <patternFill>
          <bgColor rgb="FFFCE4D6"/>
        </patternFill>
      </fill>
      <border>
        <left style="thin">
          <color rgb="FFD9E2EA"/>
        </left>
        <right style="thin">
          <color rgb="FFD9E2EA"/>
        </right>
        <top style="thin">
          <color rgb="FFD9E2EA"/>
        </top>
        <bottom style="thin">
          <color rgb="FFD9E2EA"/>
        </bottom>
        <vertical/>
        <horizontal/>
      </border>
    </dxf>
    <dxf>
      <fill>
        <patternFill>
          <bgColor rgb="FFFFF2CC"/>
        </patternFill>
      </fill>
      <border>
        <left style="thin">
          <color rgb="FFD9E2EA"/>
        </left>
        <right style="thin">
          <color rgb="FFD9E2EA"/>
        </right>
        <top style="thin">
          <color rgb="FFD9E2EA"/>
        </top>
        <bottom style="thin">
          <color rgb="FFD9E2EA"/>
        </bottom>
        <vertical/>
        <horizontal/>
      </border>
    </dxf>
    <dxf>
      <fill>
        <patternFill>
          <bgColor rgb="FFE2F0D9"/>
        </patternFill>
      </fill>
      <border>
        <left style="thin">
          <color rgb="FFD9E2EA"/>
        </left>
        <right style="thin">
          <color rgb="FFD9E2EA"/>
        </right>
        <top style="thin">
          <color rgb="FFD9E2EA"/>
        </top>
        <bottom style="thin">
          <color rgb="FFD9E2EA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QCRA Cost Tornado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Mean Cost $B</c:v>
          </c:tx>
          <c:cat>
            <c:strRef>
              <c:f>'03 QCRA Tornado'!$B$6:$B$17</c:f>
              <c:strCache>
                <c:ptCount val="12"/>
                <c:pt idx="0">
                  <c:v>Market escalation</c:v>
                </c:pt>
                <c:pt idx="1">
                  <c:v>Design maturity gap</c:v>
                </c:pt>
                <c:pt idx="2">
                  <c:v>Scope growth</c:v>
                </c:pt>
                <c:pt idx="3">
                  <c:v>Productivity underperformance</c:v>
                </c:pt>
                <c:pt idx="4">
                  <c:v>Supply chain delay</c:v>
                </c:pt>
                <c:pt idx="5">
                  <c:v>Interface misalignment</c:v>
                </c:pt>
                <c:pt idx="6">
                  <c:v>Commissioning delay</c:v>
                </c:pt>
                <c:pt idx="7">
                  <c:v>Permits / approvals delay</c:v>
                </c:pt>
                <c:pt idx="8">
                  <c:v>Weather / environmental disruption</c:v>
                </c:pt>
                <c:pt idx="9">
                  <c:v>Interface ownership gap</c:v>
                </c:pt>
                <c:pt idx="10">
                  <c:v>Commercial claims escalation</c:v>
                </c:pt>
                <c:pt idx="11">
                  <c:v>Cyber / controls integration</c:v>
                </c:pt>
              </c:strCache>
            </c:strRef>
          </c:cat>
          <c:val>
            <c:numRef>
              <c:f>'03 QCRA Tornado'!$D$6:$D$17</c:f>
              <c:numCache>
                <c:formatCode>General</c:formatCode>
                <c:ptCount val="12"/>
                <c:pt idx="0">
                  <c:v>0.956</c:v>
                </c:pt>
                <c:pt idx="1">
                  <c:v>0.726</c:v>
                </c:pt>
                <c:pt idx="2">
                  <c:v>0.714</c:v>
                </c:pt>
                <c:pt idx="3">
                  <c:v>0.595</c:v>
                </c:pt>
                <c:pt idx="4">
                  <c:v>0.595</c:v>
                </c:pt>
                <c:pt idx="5">
                  <c:v>0.506</c:v>
                </c:pt>
                <c:pt idx="6">
                  <c:v>0.408</c:v>
                </c:pt>
                <c:pt idx="7">
                  <c:v>0.297</c:v>
                </c:pt>
                <c:pt idx="8">
                  <c:v>0.176</c:v>
                </c:pt>
                <c:pt idx="9">
                  <c:v>0.145</c:v>
                </c:pt>
                <c:pt idx="10">
                  <c:v>0.14</c:v>
                </c:pt>
                <c:pt idx="11">
                  <c:v>0.125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QSRA Schedule Tornado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Mean Days</c:v>
          </c:tx>
          <c:cat>
            <c:strRef>
              <c:f>'04 QSRA Tornado'!$B$6:$B$17</c:f>
              <c:strCache>
                <c:ptCount val="12"/>
                <c:pt idx="0">
                  <c:v>Permits / approvals delay</c:v>
                </c:pt>
                <c:pt idx="1">
                  <c:v>Quality failure / rework</c:v>
                </c:pt>
                <c:pt idx="2">
                  <c:v>Data / estimate basis weakness</c:v>
                </c:pt>
                <c:pt idx="3">
                  <c:v>Resource availability</c:v>
                </c:pt>
                <c:pt idx="4">
                  <c:v>Scope growth</c:v>
                </c:pt>
                <c:pt idx="5">
                  <c:v>Weather / environmental disruption</c:v>
                </c:pt>
                <c:pt idx="6">
                  <c:v>Productivity underperformance</c:v>
                </c:pt>
                <c:pt idx="7">
                  <c:v>Design maturity gap</c:v>
                </c:pt>
                <c:pt idx="8">
                  <c:v>Commissioning readiness gap</c:v>
                </c:pt>
                <c:pt idx="9">
                  <c:v>Supply chain delay</c:v>
                </c:pt>
                <c:pt idx="10">
                  <c:v>Commercial claims escalation</c:v>
                </c:pt>
                <c:pt idx="11">
                  <c:v>Cyber / controls integration</c:v>
                </c:pt>
              </c:strCache>
            </c:strRef>
          </c:cat>
          <c:val>
            <c:numRef>
              <c:f>'04 QSRA Tornado'!$D$6:$D$17</c:f>
              <c:numCache>
                <c:formatCode>General</c:formatCode>
                <c:ptCount val="12"/>
                <c:pt idx="0">
                  <c:v>24.5</c:v>
                </c:pt>
                <c:pt idx="1">
                  <c:v>23.6</c:v>
                </c:pt>
                <c:pt idx="2">
                  <c:v>21.1</c:v>
                </c:pt>
                <c:pt idx="3">
                  <c:v>19.1</c:v>
                </c:pt>
                <c:pt idx="4">
                  <c:v>18.9</c:v>
                </c:pt>
                <c:pt idx="5">
                  <c:v>17.6</c:v>
                </c:pt>
                <c:pt idx="6">
                  <c:v>17.5</c:v>
                </c:pt>
                <c:pt idx="7">
                  <c:v>17.1</c:v>
                </c:pt>
                <c:pt idx="8">
                  <c:v>16.9</c:v>
                </c:pt>
                <c:pt idx="9">
                  <c:v>16</c:v>
                </c:pt>
                <c:pt idx="10">
                  <c:v>15.1</c:v>
                </c:pt>
                <c:pt idx="11">
                  <c:v>13.5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l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b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</xdr:row>
      <xdr:rowOff>0</xdr:rowOff>
    </xdr:from>
    <xdr:to>
      <xdr:col>16</xdr:col>
      <xdr:colOff>304800</xdr:colOff>
      <xdr:row>23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</xdr:row>
      <xdr:rowOff>0</xdr:rowOff>
    </xdr:from>
    <xdr:to>
      <xdr:col>16</xdr:col>
      <xdr:colOff>304800</xdr:colOff>
      <xdr:row>23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showGridLines="0" tabSelected="1" zoomScale="90" zoomScaleNormal="90" workbookViewId="0">
      <pane ySplit="5" topLeftCell="A6" activePane="bottomLeft" state="frozen"/>
      <selection pane="bottomLeft"/>
    </sheetView>
  </sheetViews>
  <sheetFormatPr defaultRowHeight="15"/>
  <cols>
    <col min="1" max="1" width="24.7109375" customWidth="1"/>
    <col min="2" max="2" width="44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/>
      <c r="C2" s="2"/>
      <c r="D2" s="2"/>
      <c r="E2" s="2"/>
      <c r="F2" s="2"/>
      <c r="G2" s="2"/>
      <c r="H2" s="2"/>
    </row>
    <row r="5" spans="1:8">
      <c r="A5" s="3" t="s">
        <v>2</v>
      </c>
      <c r="B5" s="3" t="s">
        <v>3</v>
      </c>
    </row>
    <row r="6" spans="1:8">
      <c r="A6" s="4" t="s">
        <v>4</v>
      </c>
      <c r="B6" s="4">
        <v>18</v>
      </c>
    </row>
    <row r="7" spans="1:8">
      <c r="A7" s="4" t="s">
        <v>5</v>
      </c>
      <c r="B7" s="4">
        <v>1</v>
      </c>
    </row>
    <row r="8" spans="1:8">
      <c r="A8" s="4" t="s">
        <v>6</v>
      </c>
      <c r="B8" s="4">
        <v>8</v>
      </c>
    </row>
    <row r="9" spans="1:8">
      <c r="A9" s="4" t="s">
        <v>7</v>
      </c>
      <c r="B9" s="4" t="s">
        <v>8</v>
      </c>
    </row>
    <row r="10" spans="1:8">
      <c r="A10" s="4" t="s">
        <v>9</v>
      </c>
      <c r="B10" s="4" t="s">
        <v>10</v>
      </c>
    </row>
  </sheetData>
  <mergeCells count="2">
    <mergeCell ref="A1:H1"/>
    <mergeCell ref="A2:H2"/>
  </mergeCells>
  <pageMargins left="0.3" right="0.3" top="0.4" bottom="0.4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5:R23"/>
  <sheetViews>
    <sheetView showGridLines="0" zoomScale="90" zoomScaleNormal="90" workbookViewId="0">
      <pane ySplit="5" topLeftCell="A6" activePane="bottomLeft" state="frozen"/>
      <selection pane="bottomLeft"/>
    </sheetView>
  </sheetViews>
  <sheetFormatPr defaultRowHeight="15"/>
  <cols>
    <col min="1" max="1" width="10.7109375" customWidth="1"/>
    <col min="2" max="2" width="25.7109375" customWidth="1"/>
    <col min="3" max="3" width="14.7109375" customWidth="1"/>
    <col min="4" max="4" width="13.7109375" customWidth="1"/>
    <col min="5" max="6" width="36.7109375" customWidth="1"/>
    <col min="7" max="7" width="44.7109375" customWidth="1"/>
    <col min="8" max="8" width="18.7109375" customWidth="1"/>
    <col min="9" max="9" width="42.7109375" customWidth="1"/>
    <col min="10" max="10" width="30.7109375" customWidth="1"/>
    <col min="11" max="12" width="12.7109375" customWidth="1"/>
    <col min="13" max="13" width="24.7109375" customWidth="1"/>
    <col min="14" max="14" width="10.7109375" customWidth="1"/>
    <col min="15" max="15" width="24.7109375" customWidth="1"/>
    <col min="16" max="17" width="14.7109375" customWidth="1"/>
    <col min="18" max="18" width="12.7109375" customWidth="1"/>
  </cols>
  <sheetData>
    <row r="5" spans="1:18">
      <c r="A5" s="3" t="s">
        <v>11</v>
      </c>
      <c r="B5" s="3" t="s">
        <v>12</v>
      </c>
      <c r="C5" s="3" t="s">
        <v>13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  <c r="J5" s="3" t="s">
        <v>20</v>
      </c>
      <c r="K5" s="3" t="s">
        <v>21</v>
      </c>
      <c r="L5" s="3" t="s">
        <v>22</v>
      </c>
      <c r="M5" s="3" t="s">
        <v>23</v>
      </c>
      <c r="N5" s="3" t="s">
        <v>24</v>
      </c>
      <c r="O5" s="3" t="s">
        <v>25</v>
      </c>
      <c r="P5" s="3" t="s">
        <v>26</v>
      </c>
      <c r="Q5" s="3" t="s">
        <v>27</v>
      </c>
      <c r="R5" s="3" t="s">
        <v>28</v>
      </c>
    </row>
    <row r="6" spans="1:18">
      <c r="A6" s="4" t="s">
        <v>29</v>
      </c>
      <c r="B6" s="4" t="s">
        <v>8</v>
      </c>
      <c r="C6" s="4" t="s">
        <v>30</v>
      </c>
      <c r="D6" s="5">
        <v>45</v>
      </c>
      <c r="E6" s="4" t="s">
        <v>31</v>
      </c>
      <c r="F6" s="4" t="s">
        <v>32</v>
      </c>
      <c r="G6" s="4" t="s">
        <v>33</v>
      </c>
      <c r="H6" s="4" t="s">
        <v>34</v>
      </c>
      <c r="I6" s="4" t="s">
        <v>35</v>
      </c>
      <c r="J6" s="4" t="s">
        <v>36</v>
      </c>
      <c r="K6" s="4" t="s">
        <v>37</v>
      </c>
      <c r="L6" s="4" t="s">
        <v>38</v>
      </c>
      <c r="M6" s="4" t="s">
        <v>39</v>
      </c>
      <c r="N6" s="4" t="s">
        <v>40</v>
      </c>
      <c r="O6" s="4" t="s">
        <v>41</v>
      </c>
      <c r="P6" s="6">
        <v>0.956</v>
      </c>
      <c r="Q6" s="5">
        <v>0.1</v>
      </c>
      <c r="R6" s="4" t="s">
        <v>42</v>
      </c>
    </row>
    <row r="7" spans="1:18">
      <c r="A7" s="4" t="s">
        <v>43</v>
      </c>
      <c r="B7" s="4" t="s">
        <v>44</v>
      </c>
      <c r="C7" s="4" t="s">
        <v>45</v>
      </c>
      <c r="D7" s="5">
        <v>38</v>
      </c>
      <c r="E7" s="4" t="s">
        <v>46</v>
      </c>
      <c r="F7" s="4" t="s">
        <v>47</v>
      </c>
      <c r="G7" s="4" t="s">
        <v>48</v>
      </c>
      <c r="H7" s="4" t="s">
        <v>49</v>
      </c>
      <c r="I7" s="4" t="s">
        <v>50</v>
      </c>
      <c r="J7" s="4" t="s">
        <v>51</v>
      </c>
      <c r="K7" s="4" t="s">
        <v>37</v>
      </c>
      <c r="L7" s="4" t="s">
        <v>52</v>
      </c>
      <c r="M7" s="4" t="s">
        <v>53</v>
      </c>
      <c r="N7" s="4" t="s">
        <v>54</v>
      </c>
      <c r="O7" s="4" t="s">
        <v>55</v>
      </c>
      <c r="P7" s="6">
        <v>0.726</v>
      </c>
      <c r="Q7" s="5">
        <v>17.1</v>
      </c>
      <c r="R7" s="4" t="s">
        <v>42</v>
      </c>
    </row>
    <row r="8" spans="1:18">
      <c r="A8" s="4" t="s">
        <v>56</v>
      </c>
      <c r="B8" s="4" t="s">
        <v>57</v>
      </c>
      <c r="C8" s="4" t="s">
        <v>58</v>
      </c>
      <c r="D8" s="5">
        <v>42</v>
      </c>
      <c r="E8" s="4" t="s">
        <v>59</v>
      </c>
      <c r="F8" s="4" t="s">
        <v>60</v>
      </c>
      <c r="G8" s="4" t="s">
        <v>61</v>
      </c>
      <c r="H8" s="4" t="s">
        <v>62</v>
      </c>
      <c r="I8" s="4" t="s">
        <v>63</v>
      </c>
      <c r="J8" s="4" t="s">
        <v>64</v>
      </c>
      <c r="K8" s="4" t="s">
        <v>37</v>
      </c>
      <c r="L8" s="4" t="s">
        <v>65</v>
      </c>
      <c r="M8" s="4" t="s">
        <v>66</v>
      </c>
      <c r="N8" s="4" t="s">
        <v>67</v>
      </c>
      <c r="O8" s="4" t="s">
        <v>68</v>
      </c>
      <c r="P8" s="6">
        <v>0.714</v>
      </c>
      <c r="Q8" s="5">
        <v>18.9</v>
      </c>
      <c r="R8" s="4" t="s">
        <v>42</v>
      </c>
    </row>
    <row r="9" spans="1:18">
      <c r="A9" s="4" t="s">
        <v>69</v>
      </c>
      <c r="B9" s="4" t="s">
        <v>70</v>
      </c>
      <c r="C9" s="4" t="s">
        <v>71</v>
      </c>
      <c r="D9" s="5">
        <v>35</v>
      </c>
      <c r="E9" s="4" t="s">
        <v>72</v>
      </c>
      <c r="F9" s="4" t="s">
        <v>73</v>
      </c>
      <c r="G9" s="4" t="s">
        <v>74</v>
      </c>
      <c r="H9" s="4" t="s">
        <v>75</v>
      </c>
      <c r="I9" s="4" t="s">
        <v>76</v>
      </c>
      <c r="J9" s="4" t="s">
        <v>77</v>
      </c>
      <c r="K9" s="4" t="s">
        <v>37</v>
      </c>
      <c r="L9" s="4" t="s">
        <v>78</v>
      </c>
      <c r="M9" s="4" t="s">
        <v>79</v>
      </c>
      <c r="N9" s="4" t="s">
        <v>80</v>
      </c>
      <c r="O9" s="4" t="s">
        <v>81</v>
      </c>
      <c r="P9" s="6">
        <v>0.595</v>
      </c>
      <c r="Q9" s="5">
        <v>17.5</v>
      </c>
      <c r="R9" s="4" t="s">
        <v>42</v>
      </c>
    </row>
    <row r="10" spans="1:18">
      <c r="A10" s="4" t="s">
        <v>82</v>
      </c>
      <c r="B10" s="4" t="s">
        <v>83</v>
      </c>
      <c r="C10" s="4" t="s">
        <v>84</v>
      </c>
      <c r="D10" s="5">
        <v>40</v>
      </c>
      <c r="E10" s="4" t="s">
        <v>85</v>
      </c>
      <c r="F10" s="4" t="s">
        <v>86</v>
      </c>
      <c r="G10" s="4" t="s">
        <v>87</v>
      </c>
      <c r="H10" s="4" t="s">
        <v>88</v>
      </c>
      <c r="I10" s="4" t="s">
        <v>89</v>
      </c>
      <c r="J10" s="4" t="s">
        <v>90</v>
      </c>
      <c r="K10" s="4" t="s">
        <v>37</v>
      </c>
      <c r="L10" s="4" t="s">
        <v>91</v>
      </c>
      <c r="M10" s="4" t="s">
        <v>92</v>
      </c>
      <c r="N10" s="4" t="s">
        <v>80</v>
      </c>
      <c r="O10" s="4" t="s">
        <v>81</v>
      </c>
      <c r="P10" s="6">
        <v>0.595</v>
      </c>
      <c r="Q10" s="5">
        <v>16</v>
      </c>
      <c r="R10" s="4" t="s">
        <v>42</v>
      </c>
    </row>
    <row r="11" spans="1:18">
      <c r="A11" s="4" t="s">
        <v>93</v>
      </c>
      <c r="B11" s="4" t="s">
        <v>94</v>
      </c>
      <c r="C11" s="4" t="s">
        <v>95</v>
      </c>
      <c r="D11" s="5">
        <v>34</v>
      </c>
      <c r="E11" s="4" t="s">
        <v>96</v>
      </c>
      <c r="F11" s="4" t="s">
        <v>97</v>
      </c>
      <c r="G11" s="4" t="s">
        <v>98</v>
      </c>
      <c r="H11" s="4" t="s">
        <v>99</v>
      </c>
      <c r="I11" s="4" t="s">
        <v>100</v>
      </c>
      <c r="J11" s="4" t="s">
        <v>101</v>
      </c>
      <c r="K11" s="4" t="s">
        <v>102</v>
      </c>
      <c r="L11" s="4" t="s">
        <v>103</v>
      </c>
      <c r="M11" s="4" t="s">
        <v>104</v>
      </c>
      <c r="N11" s="4" t="s">
        <v>80</v>
      </c>
      <c r="O11" s="4" t="s">
        <v>81</v>
      </c>
      <c r="P11" s="6">
        <v>0.506</v>
      </c>
      <c r="Q11" s="5">
        <v>11.9</v>
      </c>
      <c r="R11" s="4" t="s">
        <v>42</v>
      </c>
    </row>
    <row r="12" spans="1:18">
      <c r="A12" s="4" t="s">
        <v>105</v>
      </c>
      <c r="B12" s="4" t="s">
        <v>106</v>
      </c>
      <c r="C12" s="4" t="s">
        <v>107</v>
      </c>
      <c r="D12" s="5">
        <v>32</v>
      </c>
      <c r="E12" s="4" t="s">
        <v>108</v>
      </c>
      <c r="F12" s="4" t="s">
        <v>109</v>
      </c>
      <c r="G12" s="4" t="s">
        <v>110</v>
      </c>
      <c r="H12" s="4" t="s">
        <v>111</v>
      </c>
      <c r="I12" s="4" t="s">
        <v>112</v>
      </c>
      <c r="J12" s="4" t="s">
        <v>113</v>
      </c>
      <c r="K12" s="4" t="s">
        <v>102</v>
      </c>
      <c r="L12" s="4" t="s">
        <v>114</v>
      </c>
      <c r="M12" s="4" t="s">
        <v>115</v>
      </c>
      <c r="N12" s="4" t="s">
        <v>80</v>
      </c>
      <c r="O12" s="4" t="s">
        <v>81</v>
      </c>
      <c r="P12" s="6">
        <v>0.408</v>
      </c>
      <c r="Q12" s="5">
        <v>11.2</v>
      </c>
      <c r="R12" s="4" t="s">
        <v>42</v>
      </c>
    </row>
    <row r="13" spans="1:18">
      <c r="A13" s="4" t="s">
        <v>116</v>
      </c>
      <c r="B13" s="4" t="s">
        <v>10</v>
      </c>
      <c r="C13" s="4" t="s">
        <v>117</v>
      </c>
      <c r="D13" s="5">
        <v>35</v>
      </c>
      <c r="E13" s="4" t="s">
        <v>118</v>
      </c>
      <c r="F13" s="4" t="s">
        <v>119</v>
      </c>
      <c r="G13" s="4" t="s">
        <v>120</v>
      </c>
      <c r="H13" s="4" t="s">
        <v>121</v>
      </c>
      <c r="I13" s="4" t="s">
        <v>122</v>
      </c>
      <c r="J13" s="4" t="s">
        <v>123</v>
      </c>
      <c r="K13" s="4" t="s">
        <v>102</v>
      </c>
      <c r="L13" s="4" t="s">
        <v>124</v>
      </c>
      <c r="M13" s="4" t="s">
        <v>125</v>
      </c>
      <c r="N13" s="4" t="s">
        <v>126</v>
      </c>
      <c r="O13" s="4" t="s">
        <v>127</v>
      </c>
      <c r="P13" s="6">
        <v>0.297</v>
      </c>
      <c r="Q13" s="5">
        <v>24.5</v>
      </c>
      <c r="R13" s="4" t="s">
        <v>42</v>
      </c>
    </row>
    <row r="14" spans="1:18">
      <c r="A14" s="4" t="s">
        <v>128</v>
      </c>
      <c r="B14" s="4" t="s">
        <v>129</v>
      </c>
      <c r="C14" s="4" t="s">
        <v>71</v>
      </c>
      <c r="D14" s="5">
        <v>46</v>
      </c>
      <c r="E14" s="4" t="s">
        <v>130</v>
      </c>
      <c r="F14" s="4" t="s">
        <v>131</v>
      </c>
      <c r="G14" s="4" t="s">
        <v>132</v>
      </c>
      <c r="H14" s="4" t="s">
        <v>133</v>
      </c>
      <c r="I14" s="4" t="s">
        <v>134</v>
      </c>
      <c r="J14" s="4" t="s">
        <v>135</v>
      </c>
      <c r="K14" s="4" t="s">
        <v>136</v>
      </c>
      <c r="L14" s="4" t="s">
        <v>78</v>
      </c>
      <c r="M14" s="4" t="s">
        <v>137</v>
      </c>
      <c r="N14" s="4" t="s">
        <v>138</v>
      </c>
      <c r="O14" s="4" t="s">
        <v>139</v>
      </c>
      <c r="P14" s="6">
        <v>0.176</v>
      </c>
      <c r="Q14" s="5">
        <v>17.6</v>
      </c>
      <c r="R14" s="4" t="s">
        <v>42</v>
      </c>
    </row>
    <row r="15" spans="1:18">
      <c r="A15" s="4" t="s">
        <v>140</v>
      </c>
      <c r="B15" s="4" t="s">
        <v>141</v>
      </c>
      <c r="C15" s="4" t="s">
        <v>71</v>
      </c>
      <c r="D15" s="5">
        <v>38</v>
      </c>
      <c r="E15" s="4" t="s">
        <v>142</v>
      </c>
      <c r="F15" s="4" t="s">
        <v>143</v>
      </c>
      <c r="G15" s="4" t="s">
        <v>144</v>
      </c>
      <c r="H15" s="4" t="s">
        <v>99</v>
      </c>
      <c r="I15" s="4" t="s">
        <v>145</v>
      </c>
      <c r="J15" s="4" t="s">
        <v>101</v>
      </c>
      <c r="K15" s="4" t="s">
        <v>146</v>
      </c>
      <c r="L15" s="4" t="s">
        <v>124</v>
      </c>
      <c r="M15" s="4" t="s">
        <v>137</v>
      </c>
      <c r="N15" s="4" t="s">
        <v>147</v>
      </c>
      <c r="O15" s="4" t="s">
        <v>139</v>
      </c>
      <c r="P15" s="6">
        <v>0.145</v>
      </c>
      <c r="Q15" s="5">
        <v>12.2</v>
      </c>
      <c r="R15" s="4" t="s">
        <v>42</v>
      </c>
    </row>
    <row r="16" spans="1:18">
      <c r="A16" s="4" t="s">
        <v>148</v>
      </c>
      <c r="B16" s="4" t="s">
        <v>149</v>
      </c>
      <c r="C16" s="4" t="s">
        <v>71</v>
      </c>
      <c r="D16" s="5">
        <v>30</v>
      </c>
      <c r="E16" s="4" t="s">
        <v>150</v>
      </c>
      <c r="F16" s="4" t="s">
        <v>151</v>
      </c>
      <c r="G16" s="4" t="s">
        <v>152</v>
      </c>
      <c r="H16" s="4" t="s">
        <v>34</v>
      </c>
      <c r="I16" s="4" t="s">
        <v>153</v>
      </c>
      <c r="J16" s="4" t="s">
        <v>154</v>
      </c>
      <c r="K16" s="4" t="s">
        <v>146</v>
      </c>
      <c r="L16" s="4" t="s">
        <v>38</v>
      </c>
      <c r="M16" s="4" t="s">
        <v>137</v>
      </c>
      <c r="N16" s="4" t="s">
        <v>155</v>
      </c>
      <c r="O16" s="4" t="s">
        <v>139</v>
      </c>
      <c r="P16" s="6">
        <v>0.14</v>
      </c>
      <c r="Q16" s="5">
        <v>15.1</v>
      </c>
      <c r="R16" s="4" t="s">
        <v>42</v>
      </c>
    </row>
    <row r="17" spans="1:18">
      <c r="A17" s="4" t="s">
        <v>156</v>
      </c>
      <c r="B17" s="4" t="s">
        <v>157</v>
      </c>
      <c r="C17" s="4" t="s">
        <v>71</v>
      </c>
      <c r="D17" s="5">
        <v>42</v>
      </c>
      <c r="E17" s="4" t="s">
        <v>158</v>
      </c>
      <c r="F17" s="4" t="s">
        <v>159</v>
      </c>
      <c r="G17" s="4" t="s">
        <v>160</v>
      </c>
      <c r="H17" s="4" t="s">
        <v>161</v>
      </c>
      <c r="I17" s="4" t="s">
        <v>162</v>
      </c>
      <c r="J17" s="4" t="s">
        <v>163</v>
      </c>
      <c r="K17" s="4" t="s">
        <v>146</v>
      </c>
      <c r="L17" s="4" t="s">
        <v>91</v>
      </c>
      <c r="M17" s="4" t="s">
        <v>137</v>
      </c>
      <c r="N17" s="4" t="s">
        <v>164</v>
      </c>
      <c r="O17" s="4" t="s">
        <v>139</v>
      </c>
      <c r="P17" s="6">
        <v>0.125</v>
      </c>
      <c r="Q17" s="5">
        <v>13.5</v>
      </c>
      <c r="R17" s="4" t="s">
        <v>42</v>
      </c>
    </row>
    <row r="18" spans="1:18">
      <c r="A18" s="4" t="s">
        <v>165</v>
      </c>
      <c r="B18" s="4" t="s">
        <v>166</v>
      </c>
      <c r="C18" s="4" t="s">
        <v>71</v>
      </c>
      <c r="D18" s="5">
        <v>34</v>
      </c>
      <c r="E18" s="4" t="s">
        <v>167</v>
      </c>
      <c r="F18" s="4" t="s">
        <v>168</v>
      </c>
      <c r="G18" s="4" t="s">
        <v>169</v>
      </c>
      <c r="H18" s="4" t="s">
        <v>170</v>
      </c>
      <c r="I18" s="4" t="s">
        <v>171</v>
      </c>
      <c r="J18" s="4" t="s">
        <v>172</v>
      </c>
      <c r="K18" s="4" t="s">
        <v>146</v>
      </c>
      <c r="L18" s="4" t="s">
        <v>38</v>
      </c>
      <c r="M18" s="4" t="s">
        <v>137</v>
      </c>
      <c r="N18" s="4" t="s">
        <v>173</v>
      </c>
      <c r="O18" s="4" t="s">
        <v>139</v>
      </c>
      <c r="P18" s="6">
        <v>0.101</v>
      </c>
      <c r="Q18" s="5">
        <v>21.1</v>
      </c>
      <c r="R18" s="4" t="s">
        <v>42</v>
      </c>
    </row>
    <row r="19" spans="1:18">
      <c r="A19" s="4" t="s">
        <v>174</v>
      </c>
      <c r="B19" s="4" t="s">
        <v>175</v>
      </c>
      <c r="C19" s="4" t="s">
        <v>71</v>
      </c>
      <c r="D19" s="5">
        <v>22</v>
      </c>
      <c r="E19" s="4" t="s">
        <v>176</v>
      </c>
      <c r="F19" s="4" t="s">
        <v>177</v>
      </c>
      <c r="G19" s="4" t="s">
        <v>178</v>
      </c>
      <c r="H19" s="4" t="s">
        <v>62</v>
      </c>
      <c r="I19" s="4" t="s">
        <v>179</v>
      </c>
      <c r="J19" s="4" t="s">
        <v>180</v>
      </c>
      <c r="K19" s="4" t="s">
        <v>181</v>
      </c>
      <c r="L19" s="4" t="s">
        <v>114</v>
      </c>
      <c r="M19" s="4" t="s">
        <v>137</v>
      </c>
      <c r="N19" s="4" t="s">
        <v>67</v>
      </c>
      <c r="O19" s="4" t="s">
        <v>139</v>
      </c>
      <c r="P19" s="6">
        <v>0.103</v>
      </c>
      <c r="Q19" s="5">
        <v>9.699999999999999</v>
      </c>
      <c r="R19" s="4" t="s">
        <v>42</v>
      </c>
    </row>
    <row r="20" spans="1:18">
      <c r="A20" s="4" t="s">
        <v>182</v>
      </c>
      <c r="B20" s="4" t="s">
        <v>183</v>
      </c>
      <c r="C20" s="4" t="s">
        <v>71</v>
      </c>
      <c r="D20" s="5">
        <v>38</v>
      </c>
      <c r="E20" s="4" t="s">
        <v>184</v>
      </c>
      <c r="F20" s="4" t="s">
        <v>185</v>
      </c>
      <c r="G20" s="4" t="s">
        <v>186</v>
      </c>
      <c r="H20" s="4" t="s">
        <v>187</v>
      </c>
      <c r="I20" s="4" t="s">
        <v>188</v>
      </c>
      <c r="J20" s="4" t="s">
        <v>189</v>
      </c>
      <c r="K20" s="4" t="s">
        <v>146</v>
      </c>
      <c r="L20" s="4" t="s">
        <v>52</v>
      </c>
      <c r="M20" s="4" t="s">
        <v>137</v>
      </c>
      <c r="N20" s="4" t="s">
        <v>190</v>
      </c>
      <c r="O20" s="4" t="s">
        <v>139</v>
      </c>
      <c r="P20" s="6">
        <v>0.081</v>
      </c>
      <c r="Q20" s="5">
        <v>23.6</v>
      </c>
      <c r="R20" s="4" t="s">
        <v>42</v>
      </c>
    </row>
    <row r="21" spans="1:18">
      <c r="A21" s="4" t="s">
        <v>191</v>
      </c>
      <c r="B21" s="4" t="s">
        <v>192</v>
      </c>
      <c r="C21" s="4" t="s">
        <v>71</v>
      </c>
      <c r="D21" s="5">
        <v>30</v>
      </c>
      <c r="E21" s="4" t="s">
        <v>193</v>
      </c>
      <c r="F21" s="4" t="s">
        <v>194</v>
      </c>
      <c r="G21" s="4" t="s">
        <v>195</v>
      </c>
      <c r="H21" s="4" t="s">
        <v>111</v>
      </c>
      <c r="I21" s="4" t="s">
        <v>196</v>
      </c>
      <c r="J21" s="4" t="s">
        <v>197</v>
      </c>
      <c r="K21" s="4" t="s">
        <v>146</v>
      </c>
      <c r="L21" s="4" t="s">
        <v>65</v>
      </c>
      <c r="M21" s="4" t="s">
        <v>137</v>
      </c>
      <c r="N21" s="4" t="s">
        <v>198</v>
      </c>
      <c r="O21" s="4" t="s">
        <v>139</v>
      </c>
      <c r="P21" s="6">
        <v>0.064</v>
      </c>
      <c r="Q21" s="5">
        <v>16.9</v>
      </c>
      <c r="R21" s="4" t="s">
        <v>42</v>
      </c>
    </row>
    <row r="22" spans="1:18">
      <c r="A22" s="4" t="s">
        <v>199</v>
      </c>
      <c r="B22" s="4" t="s">
        <v>200</v>
      </c>
      <c r="C22" s="4" t="s">
        <v>71</v>
      </c>
      <c r="D22" s="5">
        <v>34</v>
      </c>
      <c r="E22" s="4" t="s">
        <v>201</v>
      </c>
      <c r="F22" s="4" t="s">
        <v>202</v>
      </c>
      <c r="G22" s="4" t="s">
        <v>203</v>
      </c>
      <c r="H22" s="4" t="s">
        <v>75</v>
      </c>
      <c r="I22" s="4" t="s">
        <v>204</v>
      </c>
      <c r="J22" s="4" t="s">
        <v>205</v>
      </c>
      <c r="K22" s="4" t="s">
        <v>146</v>
      </c>
      <c r="L22" s="4" t="s">
        <v>124</v>
      </c>
      <c r="M22" s="4" t="s">
        <v>137</v>
      </c>
      <c r="N22" s="4" t="s">
        <v>206</v>
      </c>
      <c r="O22" s="4" t="s">
        <v>139</v>
      </c>
      <c r="P22" s="6">
        <v>0.043</v>
      </c>
      <c r="Q22" s="5">
        <v>19.1</v>
      </c>
      <c r="R22" s="4" t="s">
        <v>42</v>
      </c>
    </row>
    <row r="23" spans="1:18">
      <c r="A23" s="4" t="s">
        <v>207</v>
      </c>
      <c r="B23" s="4" t="s">
        <v>208</v>
      </c>
      <c r="C23" s="4" t="s">
        <v>71</v>
      </c>
      <c r="D23" s="5">
        <v>26</v>
      </c>
      <c r="E23" s="4" t="s">
        <v>209</v>
      </c>
      <c r="F23" s="4" t="s">
        <v>210</v>
      </c>
      <c r="G23" s="4" t="s">
        <v>211</v>
      </c>
      <c r="H23" s="4" t="s">
        <v>212</v>
      </c>
      <c r="I23" s="4" t="s">
        <v>213</v>
      </c>
      <c r="J23" s="4" t="s">
        <v>214</v>
      </c>
      <c r="K23" s="4" t="s">
        <v>146</v>
      </c>
      <c r="L23" s="4" t="s">
        <v>103</v>
      </c>
      <c r="M23" s="4" t="s">
        <v>137</v>
      </c>
      <c r="N23" s="4" t="s">
        <v>40</v>
      </c>
      <c r="O23" s="4" t="s">
        <v>139</v>
      </c>
      <c r="P23" s="6">
        <v>0.033</v>
      </c>
      <c r="Q23" s="5">
        <v>13.1</v>
      </c>
      <c r="R23" s="4" t="s">
        <v>42</v>
      </c>
    </row>
  </sheetData>
  <conditionalFormatting sqref="K6:K23">
    <cfRule type="containsText" dxfId="0" priority="1" operator="containsText" text="Red">
      <formula>NOT(ISERROR(SEARCH("Red",K6)))</formula>
    </cfRule>
    <cfRule type="containsText" dxfId="1" priority="2" operator="containsText" text="Amber">
      <formula>NOT(ISERROR(SEARCH("Amber",K6)))</formula>
    </cfRule>
    <cfRule type="containsText" dxfId="2" priority="3" operator="containsText" text="Green">
      <formula>NOT(ISERROR(SEARCH("Green",K6)))</formula>
    </cfRule>
  </conditionalFormatting>
  <pageMargins left="0.3" right="0.3" top="0.4" bottom="0.4" header="0.3" footer="0.3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dimension ref="A5:E17"/>
  <sheetViews>
    <sheetView showGridLines="0" zoomScale="90" zoomScaleNormal="90"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30.7109375" customWidth="1"/>
    <col min="3" max="3" width="10.7109375" customWidth="1"/>
    <col min="4" max="4" width="14.7109375" customWidth="1"/>
    <col min="5" max="5" width="48.7109375" customWidth="1"/>
  </cols>
  <sheetData>
    <row r="5" spans="1:5">
      <c r="A5" s="3" t="s">
        <v>215</v>
      </c>
      <c r="B5" s="3" t="s">
        <v>216</v>
      </c>
      <c r="C5" s="3" t="s">
        <v>24</v>
      </c>
      <c r="D5" s="3" t="s">
        <v>217</v>
      </c>
      <c r="E5" s="3" t="s">
        <v>218</v>
      </c>
    </row>
    <row r="6" spans="1:5">
      <c r="A6" s="4">
        <v>1</v>
      </c>
      <c r="B6" s="4" t="s">
        <v>8</v>
      </c>
      <c r="C6" s="4" t="s">
        <v>40</v>
      </c>
      <c r="D6" s="6">
        <v>0.956</v>
      </c>
      <c r="E6" s="4" t="s">
        <v>35</v>
      </c>
    </row>
    <row r="7" spans="1:5">
      <c r="A7" s="4">
        <v>2</v>
      </c>
      <c r="B7" s="4" t="s">
        <v>44</v>
      </c>
      <c r="C7" s="4" t="s">
        <v>54</v>
      </c>
      <c r="D7" s="6">
        <v>0.726</v>
      </c>
      <c r="E7" s="4" t="s">
        <v>50</v>
      </c>
    </row>
    <row r="8" spans="1:5">
      <c r="A8" s="4">
        <v>3</v>
      </c>
      <c r="B8" s="4" t="s">
        <v>57</v>
      </c>
      <c r="C8" s="4" t="s">
        <v>67</v>
      </c>
      <c r="D8" s="6">
        <v>0.714</v>
      </c>
      <c r="E8" s="4" t="s">
        <v>63</v>
      </c>
    </row>
    <row r="9" spans="1:5">
      <c r="A9" s="4">
        <v>4</v>
      </c>
      <c r="B9" s="4" t="s">
        <v>70</v>
      </c>
      <c r="C9" s="4" t="s">
        <v>80</v>
      </c>
      <c r="D9" s="6">
        <v>0.595</v>
      </c>
      <c r="E9" s="4" t="s">
        <v>76</v>
      </c>
    </row>
    <row r="10" spans="1:5">
      <c r="A10" s="4">
        <v>5</v>
      </c>
      <c r="B10" s="4" t="s">
        <v>83</v>
      </c>
      <c r="C10" s="4" t="s">
        <v>80</v>
      </c>
      <c r="D10" s="6">
        <v>0.595</v>
      </c>
      <c r="E10" s="4" t="s">
        <v>89</v>
      </c>
    </row>
    <row r="11" spans="1:5">
      <c r="A11" s="4">
        <v>6</v>
      </c>
      <c r="B11" s="4" t="s">
        <v>94</v>
      </c>
      <c r="C11" s="4" t="s">
        <v>80</v>
      </c>
      <c r="D11" s="6">
        <v>0.506</v>
      </c>
      <c r="E11" s="4" t="s">
        <v>100</v>
      </c>
    </row>
    <row r="12" spans="1:5">
      <c r="A12" s="4">
        <v>7</v>
      </c>
      <c r="B12" s="4" t="s">
        <v>106</v>
      </c>
      <c r="C12" s="4" t="s">
        <v>80</v>
      </c>
      <c r="D12" s="6">
        <v>0.408</v>
      </c>
      <c r="E12" s="4" t="s">
        <v>112</v>
      </c>
    </row>
    <row r="13" spans="1:5">
      <c r="A13" s="4">
        <v>8</v>
      </c>
      <c r="B13" s="4" t="s">
        <v>10</v>
      </c>
      <c r="C13" s="4" t="s">
        <v>126</v>
      </c>
      <c r="D13" s="6">
        <v>0.297</v>
      </c>
      <c r="E13" s="4" t="s">
        <v>122</v>
      </c>
    </row>
    <row r="14" spans="1:5">
      <c r="A14" s="4">
        <v>9</v>
      </c>
      <c r="B14" s="4" t="s">
        <v>129</v>
      </c>
      <c r="C14" s="4" t="s">
        <v>138</v>
      </c>
      <c r="D14" s="6">
        <v>0.176</v>
      </c>
      <c r="E14" s="4" t="s">
        <v>134</v>
      </c>
    </row>
    <row r="15" spans="1:5">
      <c r="A15" s="4">
        <v>10</v>
      </c>
      <c r="B15" s="4" t="s">
        <v>141</v>
      </c>
      <c r="C15" s="4" t="s">
        <v>147</v>
      </c>
      <c r="D15" s="6">
        <v>0.145</v>
      </c>
      <c r="E15" s="4" t="s">
        <v>145</v>
      </c>
    </row>
    <row r="16" spans="1:5">
      <c r="A16" s="4">
        <v>11</v>
      </c>
      <c r="B16" s="4" t="s">
        <v>149</v>
      </c>
      <c r="C16" s="4" t="s">
        <v>155</v>
      </c>
      <c r="D16" s="6">
        <v>0.14</v>
      </c>
      <c r="E16" s="4" t="s">
        <v>153</v>
      </c>
    </row>
    <row r="17" spans="1:5">
      <c r="A17" s="4">
        <v>12</v>
      </c>
      <c r="B17" s="4" t="s">
        <v>157</v>
      </c>
      <c r="C17" s="4" t="s">
        <v>164</v>
      </c>
      <c r="D17" s="6">
        <v>0.125</v>
      </c>
      <c r="E17" s="4" t="s">
        <v>162</v>
      </c>
    </row>
  </sheetData>
  <pageMargins left="0.3" right="0.3" top="0.4" bottom="0.4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5:E17"/>
  <sheetViews>
    <sheetView showGridLines="0" zoomScale="90" zoomScaleNormal="90"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30.7109375" customWidth="1"/>
    <col min="3" max="4" width="12.7109375" customWidth="1"/>
    <col min="5" max="5" width="48.7109375" customWidth="1"/>
  </cols>
  <sheetData>
    <row r="5" spans="1:5">
      <c r="A5" s="3" t="s">
        <v>215</v>
      </c>
      <c r="B5" s="3" t="s">
        <v>216</v>
      </c>
      <c r="C5" s="3" t="s">
        <v>22</v>
      </c>
      <c r="D5" s="3" t="s">
        <v>219</v>
      </c>
      <c r="E5" s="3" t="s">
        <v>218</v>
      </c>
    </row>
    <row r="6" spans="1:5">
      <c r="A6" s="4">
        <v>1</v>
      </c>
      <c r="B6" s="4" t="s">
        <v>10</v>
      </c>
      <c r="C6" s="4" t="s">
        <v>124</v>
      </c>
      <c r="D6" s="5">
        <v>24.5</v>
      </c>
      <c r="E6" s="4" t="s">
        <v>122</v>
      </c>
    </row>
    <row r="7" spans="1:5">
      <c r="A7" s="4">
        <v>2</v>
      </c>
      <c r="B7" s="4" t="s">
        <v>183</v>
      </c>
      <c r="C7" s="4" t="s">
        <v>52</v>
      </c>
      <c r="D7" s="5">
        <v>23.6</v>
      </c>
      <c r="E7" s="4" t="s">
        <v>188</v>
      </c>
    </row>
    <row r="8" spans="1:5">
      <c r="A8" s="4">
        <v>3</v>
      </c>
      <c r="B8" s="4" t="s">
        <v>166</v>
      </c>
      <c r="C8" s="4" t="s">
        <v>38</v>
      </c>
      <c r="D8" s="5">
        <v>21.1</v>
      </c>
      <c r="E8" s="4" t="s">
        <v>171</v>
      </c>
    </row>
    <row r="9" spans="1:5">
      <c r="A9" s="4">
        <v>4</v>
      </c>
      <c r="B9" s="4" t="s">
        <v>200</v>
      </c>
      <c r="C9" s="4" t="s">
        <v>124</v>
      </c>
      <c r="D9" s="5">
        <v>19.1</v>
      </c>
      <c r="E9" s="4" t="s">
        <v>204</v>
      </c>
    </row>
    <row r="10" spans="1:5">
      <c r="A10" s="4">
        <v>5</v>
      </c>
      <c r="B10" s="4" t="s">
        <v>57</v>
      </c>
      <c r="C10" s="4" t="s">
        <v>65</v>
      </c>
      <c r="D10" s="5">
        <v>18.9</v>
      </c>
      <c r="E10" s="4" t="s">
        <v>63</v>
      </c>
    </row>
    <row r="11" spans="1:5">
      <c r="A11" s="4">
        <v>6</v>
      </c>
      <c r="B11" s="4" t="s">
        <v>129</v>
      </c>
      <c r="C11" s="4" t="s">
        <v>78</v>
      </c>
      <c r="D11" s="5">
        <v>17.6</v>
      </c>
      <c r="E11" s="4" t="s">
        <v>134</v>
      </c>
    </row>
    <row r="12" spans="1:5">
      <c r="A12" s="4">
        <v>7</v>
      </c>
      <c r="B12" s="4" t="s">
        <v>70</v>
      </c>
      <c r="C12" s="4" t="s">
        <v>78</v>
      </c>
      <c r="D12" s="5">
        <v>17.5</v>
      </c>
      <c r="E12" s="4" t="s">
        <v>76</v>
      </c>
    </row>
    <row r="13" spans="1:5">
      <c r="A13" s="4">
        <v>8</v>
      </c>
      <c r="B13" s="4" t="s">
        <v>44</v>
      </c>
      <c r="C13" s="4" t="s">
        <v>52</v>
      </c>
      <c r="D13" s="5">
        <v>17.1</v>
      </c>
      <c r="E13" s="4" t="s">
        <v>50</v>
      </c>
    </row>
    <row r="14" spans="1:5">
      <c r="A14" s="4">
        <v>9</v>
      </c>
      <c r="B14" s="4" t="s">
        <v>192</v>
      </c>
      <c r="C14" s="4" t="s">
        <v>65</v>
      </c>
      <c r="D14" s="5">
        <v>16.9</v>
      </c>
      <c r="E14" s="4" t="s">
        <v>196</v>
      </c>
    </row>
    <row r="15" spans="1:5">
      <c r="A15" s="4">
        <v>10</v>
      </c>
      <c r="B15" s="4" t="s">
        <v>83</v>
      </c>
      <c r="C15" s="4" t="s">
        <v>91</v>
      </c>
      <c r="D15" s="5">
        <v>16</v>
      </c>
      <c r="E15" s="4" t="s">
        <v>89</v>
      </c>
    </row>
    <row r="16" spans="1:5">
      <c r="A16" s="4">
        <v>11</v>
      </c>
      <c r="B16" s="4" t="s">
        <v>149</v>
      </c>
      <c r="C16" s="4" t="s">
        <v>38</v>
      </c>
      <c r="D16" s="5">
        <v>15.1</v>
      </c>
      <c r="E16" s="4" t="s">
        <v>153</v>
      </c>
    </row>
    <row r="17" spans="1:5">
      <c r="A17" s="4">
        <v>12</v>
      </c>
      <c r="B17" s="4" t="s">
        <v>157</v>
      </c>
      <c r="C17" s="4" t="s">
        <v>91</v>
      </c>
      <c r="D17" s="5">
        <v>13.5</v>
      </c>
      <c r="E17" s="4" t="s">
        <v>162</v>
      </c>
    </row>
  </sheetData>
  <pageMargins left="0.3" right="0.3" top="0.4" bottom="0.4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01 Risk Dashboard</vt:lpstr>
      <vt:lpstr>02 Full Risk Register</vt:lpstr>
      <vt:lpstr>03 QCRA Tornado</vt:lpstr>
      <vt:lpstr>04 QSRA Tornado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2026-05-24T16:47:43Z</dcterms:created>
  <dcterms:modified xsi:type="dcterms:W3CDTF">2026-05-24T16:47:43Z</dcterms:modified>
</cp:coreProperties>
</file>