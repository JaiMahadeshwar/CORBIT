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39.312</v>
                </pt>
                <pt idx="1">
                  <v>7.56</v>
                </pt>
                <pt idx="2">
                  <v>6.048</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Estimate'!$B$6:$B$19</f>
              <strCache>
                <ptCount val="14"/>
                <pt idx="0">
                  <v>DDT&amp;E Engineering</v>
                </pt>
                <pt idx="1">
                  <v>Systems Engineering &amp; Integration</v>
                </pt>
                <pt idx="2">
                  <v>Structures / Habitat Shell</v>
                </pt>
                <pt idx="3">
                  <v>Power Generation &amp; Distribution</v>
                </pt>
                <pt idx="4">
                  <v>ECLSS / Life Support</v>
                </pt>
                <pt idx="5">
                  <v>Payload / Mission Equipment</v>
                </pt>
                <pt idx="6">
                  <v>Robotics / Autonomous Construction</v>
                </pt>
                <pt idx="7">
                  <v>Launch Services</v>
                </pt>
                <pt idx="8">
                  <v>Transport / Landing / Surface Logistics</v>
                </pt>
                <pt idx="9">
                  <v>Test &amp; Qualification Facilities</v>
                </pt>
                <pt idx="10">
                  <v>Safety &amp; Mission Assurance</v>
                </pt>
                <pt idx="11">
                  <v>Programme Management / PMO</v>
                </pt>
                <pt idx="12">
                  <v>Risk Contingency / UFE</v>
                </pt>
                <pt idx="13">
                  <v>Management Reserve</v>
                </pt>
              </strCache>
            </strRef>
          </cat>
          <val>
            <numRef>
              <f>'02 Selected Cost Estimate'!$F$6:$F$19</f>
              <numCache>
                <formatCode>General</formatCode>
                <ptCount val="14"/>
                <pt idx="0">
                  <v>4.536</v>
                </pt>
                <pt idx="1">
                  <v>3.024</v>
                </pt>
                <pt idx="2">
                  <v>5.04</v>
                </pt>
                <pt idx="3">
                  <v>4.032</v>
                </pt>
                <pt idx="4">
                  <v>4.536</v>
                </pt>
                <pt idx="5">
                  <v>3.528</v>
                </pt>
                <pt idx="6">
                  <v>3.024</v>
                </pt>
                <pt idx="7">
                  <v>7.056</v>
                </pt>
                <pt idx="8">
                  <v>4.536</v>
                </pt>
                <pt idx="9">
                  <v>2.52</v>
                </pt>
                <pt idx="10">
                  <v>2.52</v>
                </pt>
                <pt idx="11">
                  <v>2.52</v>
                </pt>
                <pt idx="12">
                  <v>3.528</v>
                </pt>
                <pt idx="13">
                  <v>2.52</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39.31</v>
                </pt>
                <pt idx="1">
                  <v>40.82</v>
                </pt>
                <pt idx="2">
                  <v>42.34</v>
                </pt>
                <pt idx="3">
                  <v>44.86</v>
                </pt>
                <pt idx="4">
                  <v>46.87</v>
                </pt>
                <pt idx="5">
                  <v>48.89</v>
                </pt>
                <pt idx="6">
                  <v>50.4</v>
                </pt>
                <pt idx="7">
                  <v>53.42</v>
                </pt>
                <pt idx="8">
                  <v>57.96</v>
                </pt>
                <pt idx="9">
                  <v>65.52</v>
                </pt>
                <pt idx="10">
                  <v>74.09</v>
                </pt>
                <pt idx="11">
                  <v>79.63</v>
                </pt>
                <pt idx="12">
                  <v>86.69</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100</v>
                </pt>
                <pt idx="1">
                  <v>102</v>
                </pt>
                <pt idx="2">
                  <v>105</v>
                </pt>
                <pt idx="3">
                  <v>110</v>
                </pt>
                <pt idx="4">
                  <v>115</v>
                </pt>
                <pt idx="5">
                  <v>118</v>
                </pt>
                <pt idx="6">
                  <v>122</v>
                </pt>
                <pt idx="7">
                  <v>129</v>
                </pt>
                <pt idx="8">
                  <v>140</v>
                </pt>
                <pt idx="9">
                  <v>159</v>
                </pt>
                <pt idx="10">
                  <v>179</v>
                </pt>
                <pt idx="11">
                  <v>193</v>
                </pt>
                <pt idx="12">
                  <v>210</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Launch manifest delay</v>
                </pt>
                <pt idx="1">
                  <v>Mass growth</v>
                </pt>
                <pt idx="2">
                  <v>Life-support reliability</v>
                </pt>
                <pt idx="3">
                  <v>Market escalation</v>
                </pt>
                <pt idx="4">
                  <v>Design maturity gap</v>
                </pt>
                <pt idx="5">
                  <v>Scope growth</v>
                </pt>
                <pt idx="6">
                  <v>Productivity underperformance</v>
                </pt>
                <pt idx="7">
                  <v>Supply chain delay</v>
                </pt>
                <pt idx="8">
                  <v>Interface misalignment</v>
                </pt>
                <pt idx="9">
                  <v>Commissioning delay</v>
                </pt>
                <pt idx="10">
                  <v>Permits / approvals delay</v>
                </pt>
                <pt idx="11">
                  <v>Stakeholder change</v>
                </pt>
              </strCache>
            </strRef>
          </cat>
          <val>
            <numRef>
              <f>'08 QCRA Tornado'!$D$6:$D$17</f>
              <numCache>
                <formatCode>General</formatCode>
                <ptCount val="12"/>
                <pt idx="0">
                  <v>2.883</v>
                </pt>
                <pt idx="1">
                  <v>2.883</v>
                </pt>
                <pt idx="2">
                  <v>2.873</v>
                </pt>
                <pt idx="3">
                  <v>2.268</v>
                </pt>
                <pt idx="4">
                  <v>1.724</v>
                </pt>
                <pt idx="5">
                  <v>1.693</v>
                </pt>
                <pt idx="6">
                  <v>1.411</v>
                </pt>
                <pt idx="7">
                  <v>1.411</v>
                </pt>
                <pt idx="8">
                  <v>1.2</v>
                </pt>
                <pt idx="9">
                  <v>0.968</v>
                </pt>
                <pt idx="10">
                  <v>0.706</v>
                </pt>
                <pt idx="11">
                  <v>0.466</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Launch manifest delay</v>
                </pt>
                <pt idx="1">
                  <v>Life-support reliability</v>
                </pt>
                <pt idx="2">
                  <v>Funding / approval gate delay</v>
                </pt>
                <pt idx="3">
                  <v>Cyber / controls integration</v>
                </pt>
                <pt idx="4">
                  <v>Permits / approvals delay</v>
                </pt>
                <pt idx="5">
                  <v>Mass growth</v>
                </pt>
                <pt idx="6">
                  <v>Thermal / radiation design margin</v>
                </pt>
                <pt idx="7">
                  <v>Interface ownership gap</v>
                </pt>
                <pt idx="8">
                  <v>Stakeholder change</v>
                </pt>
                <pt idx="9">
                  <v>Quality failure / rework</v>
                </pt>
                <pt idx="10">
                  <v>Scope growth</v>
                </pt>
                <pt idx="11">
                  <v>Launch window dependency</v>
                </pt>
              </strCache>
            </strRef>
          </cat>
          <val>
            <numRef>
              <f>'09 QSRA Tornado'!$D$6:$D$17</f>
              <numCache>
                <formatCode>General</formatCode>
                <ptCount val="12"/>
                <pt idx="0">
                  <v>31.2</v>
                </pt>
                <pt idx="1">
                  <v>30.4</v>
                </pt>
                <pt idx="2">
                  <v>25.2</v>
                </pt>
                <pt idx="3">
                  <v>24.7</v>
                </pt>
                <pt idx="4">
                  <v>24.5</v>
                </pt>
                <pt idx="5">
                  <v>24.2</v>
                </pt>
                <pt idx="6">
                  <v>22.4</v>
                </pt>
                <pt idx="7">
                  <v>21.8</v>
                </pt>
                <pt idx="8">
                  <v>20.5</v>
                </pt>
                <pt idx="9">
                  <v>20</v>
                </pt>
                <pt idx="10">
                  <v>18.9</v>
                </pt>
                <pt idx="11">
                  <v>17.9</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Frontier Space Infrastructure | Base scenario | Class 3 | Schedule Level 4</t>
        </is>
      </c>
    </row>
    <row r="5">
      <c r="A5" s="3" t="inlineStr">
        <is>
          <t>P50 Cost</t>
        </is>
      </c>
      <c r="B5" s="10" t="n"/>
      <c r="D5" s="3" t="inlineStr">
        <is>
          <t>Cost Range</t>
        </is>
      </c>
      <c r="E5" s="10" t="n"/>
      <c r="G5" s="3" t="inlineStr">
        <is>
          <t>QCRA P80</t>
        </is>
      </c>
      <c r="H5" s="10" t="n"/>
    </row>
    <row r="6">
      <c r="A6" s="4" t="inlineStr">
        <is>
          <t>$50.4B</t>
        </is>
      </c>
      <c r="B6" s="10" t="n"/>
      <c r="D6" s="4" t="inlineStr">
        <is>
          <t>$42.3B - $74.1B</t>
        </is>
      </c>
      <c r="E6" s="10" t="n"/>
      <c r="G6" s="4" t="inlineStr">
        <is>
          <t>$65.5B</t>
        </is>
      </c>
      <c r="H6" s="10" t="n"/>
    </row>
    <row r="8">
      <c r="A8" s="3" t="inlineStr">
        <is>
          <t>Schedule</t>
        </is>
      </c>
      <c r="B8" s="10" t="n"/>
      <c r="D8" s="3" t="inlineStr">
        <is>
          <t>QSRA P80</t>
        </is>
      </c>
      <c r="E8" s="10" t="n"/>
      <c r="G8" s="3" t="inlineStr">
        <is>
          <t>Risk / Confidence</t>
        </is>
      </c>
      <c r="H8" s="10" t="n"/>
    </row>
    <row r="9">
      <c r="A9" s="4" t="inlineStr">
        <is>
          <t>122 months</t>
        </is>
      </c>
      <c r="B9" s="10" t="n"/>
      <c r="D9" s="4" t="inlineStr">
        <is>
          <t>159 mo</t>
        </is>
      </c>
      <c r="E9" s="10" t="n"/>
      <c r="G9" s="4" t="inlineStr">
        <is>
          <t>Medium-High / 48%</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39.312</v>
      </c>
    </row>
    <row r="20">
      <c r="A20" s="6" t="inlineStr">
        <is>
          <t>Indirect</t>
        </is>
      </c>
      <c r="B20" s="8" t="n">
        <v>7.56</v>
      </c>
    </row>
    <row r="21">
      <c r="A21" s="6" t="inlineStr">
        <is>
          <t>Reserve</t>
        </is>
      </c>
      <c r="B21" s="8" t="n">
        <v>6.048</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9"/>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DDT&amp;E Engineering</t>
        </is>
      </c>
      <c r="C6" s="6" t="inlineStr">
        <is>
          <t>Direct</t>
        </is>
      </c>
      <c r="D6" s="6" t="inlineStr">
        <is>
          <t>Engineering design, mission architecture and qualification</t>
        </is>
      </c>
      <c r="E6" s="8" t="n">
        <v>3.629</v>
      </c>
      <c r="F6" s="8" t="n">
        <v>4.536</v>
      </c>
      <c r="G6" s="8" t="n">
        <v>5.897</v>
      </c>
      <c r="H6" s="6" t="inlineStr">
        <is>
          <t>DDT&amp;E Engineering priced as 9.0% of P50 from sector template, location factor 2.50, scale factor 1.90, complexity factor 1.00.</t>
        </is>
      </c>
    </row>
    <row r="7">
      <c r="A7" s="6" t="inlineStr">
        <is>
          <t>01.02</t>
        </is>
      </c>
      <c r="B7" s="6" t="inlineStr">
        <is>
          <t>Systems Engineering &amp; Integration</t>
        </is>
      </c>
      <c r="C7" s="6" t="inlineStr">
        <is>
          <t>Direct</t>
        </is>
      </c>
      <c r="D7" s="6" t="inlineStr">
        <is>
          <t>Requirements, ICDs, verification and validation</t>
        </is>
      </c>
      <c r="E7" s="8" t="n">
        <v>2.419</v>
      </c>
      <c r="F7" s="8" t="n">
        <v>3.024</v>
      </c>
      <c r="G7" s="8" t="n">
        <v>3.931</v>
      </c>
      <c r="H7" s="6" t="inlineStr">
        <is>
          <t>Systems Engineering &amp; Integration priced as 6.0% of P50 from sector template, location factor 2.50, scale factor 1.90, complexity factor 1.00.</t>
        </is>
      </c>
    </row>
    <row r="8">
      <c r="A8" s="6" t="inlineStr">
        <is>
          <t>01.03</t>
        </is>
      </c>
      <c r="B8" s="6" t="inlineStr">
        <is>
          <t>Structures / Habitat Shell</t>
        </is>
      </c>
      <c r="C8" s="6" t="inlineStr">
        <is>
          <t>Direct</t>
        </is>
      </c>
      <c r="D8" s="6" t="inlineStr">
        <is>
          <t>Pressure vessels, shielding and primary structures</t>
        </is>
      </c>
      <c r="E8" s="8" t="n">
        <v>4.032</v>
      </c>
      <c r="F8" s="8" t="n">
        <v>5.04</v>
      </c>
      <c r="G8" s="8" t="n">
        <v>6.552</v>
      </c>
      <c r="H8" s="6" t="inlineStr">
        <is>
          <t>Structures / Habitat Shell priced as 10.0% of P50 from sector template, location factor 2.50, scale factor 1.90, complexity factor 1.00.</t>
        </is>
      </c>
    </row>
    <row r="9">
      <c r="A9" s="6" t="inlineStr">
        <is>
          <t>01.04</t>
        </is>
      </c>
      <c r="B9" s="6" t="inlineStr">
        <is>
          <t>Power Generation &amp; Distribution</t>
        </is>
      </c>
      <c r="C9" s="6" t="inlineStr">
        <is>
          <t>Direct</t>
        </is>
      </c>
      <c r="D9" s="6" t="inlineStr">
        <is>
          <t>Solar/nuclear source, grid and controls</t>
        </is>
      </c>
      <c r="E9" s="8" t="n">
        <v>3.226</v>
      </c>
      <c r="F9" s="8" t="n">
        <v>4.032</v>
      </c>
      <c r="G9" s="8" t="n">
        <v>5.242</v>
      </c>
      <c r="H9" s="6" t="inlineStr">
        <is>
          <t>Power Generation &amp; Distribution priced as 8.0% of P50 from sector template, location factor 2.50, scale factor 1.90, complexity factor 1.00.</t>
        </is>
      </c>
    </row>
    <row r="10">
      <c r="A10" s="6" t="inlineStr">
        <is>
          <t>01.05</t>
        </is>
      </c>
      <c r="B10" s="6" t="inlineStr">
        <is>
          <t>ECLSS / Life Support</t>
        </is>
      </c>
      <c r="C10" s="6" t="inlineStr">
        <is>
          <t>Direct</t>
        </is>
      </c>
      <c r="D10" s="6" t="inlineStr">
        <is>
          <t>Air, water, waste, atmosphere and safety systems</t>
        </is>
      </c>
      <c r="E10" s="8" t="n">
        <v>3.629</v>
      </c>
      <c r="F10" s="8" t="n">
        <v>4.536</v>
      </c>
      <c r="G10" s="8" t="n">
        <v>5.897</v>
      </c>
      <c r="H10" s="6" t="inlineStr">
        <is>
          <t>ECLSS / Life Support priced as 9.0% of P50 from sector template, location factor 2.50, scale factor 1.90, complexity factor 1.00.</t>
        </is>
      </c>
    </row>
    <row r="11">
      <c r="A11" s="6" t="inlineStr">
        <is>
          <t>01.06</t>
        </is>
      </c>
      <c r="B11" s="6" t="inlineStr">
        <is>
          <t>Payload / Mission Equipment</t>
        </is>
      </c>
      <c r="C11" s="6" t="inlineStr">
        <is>
          <t>Direct</t>
        </is>
      </c>
      <c r="D11" s="6" t="inlineStr">
        <is>
          <t>Scientific, medical, industrial or settlement payload</t>
        </is>
      </c>
      <c r="E11" s="8" t="n">
        <v>2.822</v>
      </c>
      <c r="F11" s="8" t="n">
        <v>3.528</v>
      </c>
      <c r="G11" s="8" t="n">
        <v>4.586</v>
      </c>
      <c r="H11" s="6" t="inlineStr">
        <is>
          <t>Payload / Mission Equipment priced as 7.0% of P50 from sector template, location factor 2.50, scale factor 1.90, complexity factor 1.00.</t>
        </is>
      </c>
    </row>
    <row r="12">
      <c r="A12" s="6" t="inlineStr">
        <is>
          <t>01.07</t>
        </is>
      </c>
      <c r="B12" s="6" t="inlineStr">
        <is>
          <t>Robotics / Autonomous Construction</t>
        </is>
      </c>
      <c r="C12" s="6" t="inlineStr">
        <is>
          <t>Direct</t>
        </is>
      </c>
      <c r="D12" s="6" t="inlineStr">
        <is>
          <t>Robotic construction, inspection and maintenance</t>
        </is>
      </c>
      <c r="E12" s="8" t="n">
        <v>2.419</v>
      </c>
      <c r="F12" s="8" t="n">
        <v>3.024</v>
      </c>
      <c r="G12" s="8" t="n">
        <v>3.931</v>
      </c>
      <c r="H12" s="6" t="inlineStr">
        <is>
          <t>Robotics / Autonomous Construction priced as 6.0% of P50 from sector template, location factor 2.50, scale factor 1.90, complexity factor 1.00.</t>
        </is>
      </c>
    </row>
    <row r="13">
      <c r="A13" s="6" t="inlineStr">
        <is>
          <t>01.08</t>
        </is>
      </c>
      <c r="B13" s="6" t="inlineStr">
        <is>
          <t>Launch Services</t>
        </is>
      </c>
      <c r="C13" s="6" t="inlineStr">
        <is>
          <t>Direct</t>
        </is>
      </c>
      <c r="D13" s="6" t="inlineStr">
        <is>
          <t>Launch vehicle, manifest, payload processing</t>
        </is>
      </c>
      <c r="E13" s="8" t="n">
        <v>5.645</v>
      </c>
      <c r="F13" s="8" t="n">
        <v>7.056</v>
      </c>
      <c r="G13" s="8" t="n">
        <v>9.173</v>
      </c>
      <c r="H13" s="6" t="inlineStr">
        <is>
          <t>Launch Services priced as 14.0% of P50 from sector template, location factor 2.50, scale factor 1.90, complexity factor 1.00.</t>
        </is>
      </c>
    </row>
    <row r="14">
      <c r="A14" s="6" t="inlineStr">
        <is>
          <t>01.09</t>
        </is>
      </c>
      <c r="B14" s="6" t="inlineStr">
        <is>
          <t>Transport / Landing / Surface Logistics</t>
        </is>
      </c>
      <c r="C14" s="6" t="inlineStr">
        <is>
          <t>Direct</t>
        </is>
      </c>
      <c r="D14" s="6" t="inlineStr">
        <is>
          <t>Transit, landing, mobility and logistics chain</t>
        </is>
      </c>
      <c r="E14" s="8" t="n">
        <v>3.629</v>
      </c>
      <c r="F14" s="8" t="n">
        <v>4.536</v>
      </c>
      <c r="G14" s="8" t="n">
        <v>5.897</v>
      </c>
      <c r="H14" s="6" t="inlineStr">
        <is>
          <t>Transport / Landing / Surface Logistics priced as 9.0% of P50 from sector template, location factor 2.50, scale factor 1.90, complexity factor 1.00.</t>
        </is>
      </c>
    </row>
    <row r="15">
      <c r="A15" s="6" t="inlineStr">
        <is>
          <t>02.01</t>
        </is>
      </c>
      <c r="B15" s="6" t="inlineStr">
        <is>
          <t>Test &amp; Qualification Facilities</t>
        </is>
      </c>
      <c r="C15" s="6" t="inlineStr">
        <is>
          <t>Indirect</t>
        </is>
      </c>
      <c r="D15" s="6" t="inlineStr">
        <is>
          <t>Thermal-vac, vibration, radiation and integrated testing</t>
        </is>
      </c>
      <c r="E15" s="8" t="n">
        <v>2.016</v>
      </c>
      <c r="F15" s="8" t="n">
        <v>2.52</v>
      </c>
      <c r="G15" s="8" t="n">
        <v>3.276</v>
      </c>
      <c r="H15" s="6" t="inlineStr">
        <is>
          <t>Test &amp; Qualification Facilities priced as 5.0% of P50 from sector template, location factor 2.50, scale factor 1.90, complexity factor 1.00.</t>
        </is>
      </c>
    </row>
    <row r="16">
      <c r="A16" s="6" t="inlineStr">
        <is>
          <t>02.02</t>
        </is>
      </c>
      <c r="B16" s="6" t="inlineStr">
        <is>
          <t>Safety &amp; Mission Assurance</t>
        </is>
      </c>
      <c r="C16" s="6" t="inlineStr">
        <is>
          <t>Indirect</t>
        </is>
      </c>
      <c r="D16" s="6" t="inlineStr">
        <is>
          <t>Quality, safety, independent review and compliance</t>
        </is>
      </c>
      <c r="E16" s="8" t="n">
        <v>2.016</v>
      </c>
      <c r="F16" s="8" t="n">
        <v>2.52</v>
      </c>
      <c r="G16" s="8" t="n">
        <v>3.276</v>
      </c>
      <c r="H16" s="6" t="inlineStr">
        <is>
          <t>Safety &amp; Mission Assurance priced as 5.0% of P50 from sector template, location factor 2.50, scale factor 1.90, complexity factor 1.00.</t>
        </is>
      </c>
    </row>
    <row r="17">
      <c r="A17" s="6" t="inlineStr">
        <is>
          <t>02.03</t>
        </is>
      </c>
      <c r="B17" s="6" t="inlineStr">
        <is>
          <t>Programme Management / PMO</t>
        </is>
      </c>
      <c r="C17" s="6" t="inlineStr">
        <is>
          <t>Indirect</t>
        </is>
      </c>
      <c r="D17" s="6" t="inlineStr">
        <is>
          <t>Controls, reporting, commercial and integration PMO</t>
        </is>
      </c>
      <c r="E17" s="8" t="n">
        <v>2.016</v>
      </c>
      <c r="F17" s="8" t="n">
        <v>2.52</v>
      </c>
      <c r="G17" s="8" t="n">
        <v>3.276</v>
      </c>
      <c r="H17" s="6" t="inlineStr">
        <is>
          <t>Programme Management / PMO priced as 5.0% of P50 from sector template, location factor 2.50, scale factor 1.90, complexity factor 1.00.</t>
        </is>
      </c>
    </row>
    <row r="18">
      <c r="A18" s="6" t="inlineStr">
        <is>
          <t>03.01</t>
        </is>
      </c>
      <c r="B18" s="6" t="inlineStr">
        <is>
          <t>Risk Contingency / UFE</t>
        </is>
      </c>
      <c r="C18" s="6" t="inlineStr">
        <is>
          <t>Reserve</t>
        </is>
      </c>
      <c r="D18" s="6" t="inlineStr">
        <is>
          <t>Known-unknown risk allowance linked to QCRA/QSRA</t>
        </is>
      </c>
      <c r="E18" s="8" t="n">
        <v>2.822</v>
      </c>
      <c r="F18" s="8" t="n">
        <v>3.528</v>
      </c>
      <c r="G18" s="8" t="n">
        <v>4.586</v>
      </c>
      <c r="H18" s="6" t="inlineStr">
        <is>
          <t>Risk Contingency / UFE priced as 7.0% of P50 from sector template, location factor 2.50, scale factor 1.90, complexity factor 1.00.</t>
        </is>
      </c>
    </row>
    <row r="19">
      <c r="A19" s="6" t="inlineStr">
        <is>
          <t>03.02</t>
        </is>
      </c>
      <c r="B19" s="6" t="inlineStr">
        <is>
          <t>Management Reserve</t>
        </is>
      </c>
      <c r="C19" s="6" t="inlineStr">
        <is>
          <t>Reserve</t>
        </is>
      </c>
      <c r="D19" s="6" t="inlineStr">
        <is>
          <t>Sponsor-held unknown-unknown reserve</t>
        </is>
      </c>
      <c r="E19" s="8" t="n">
        <v>2.016</v>
      </c>
      <c r="F19" s="8" t="n">
        <v>2.52</v>
      </c>
      <c r="G19" s="8" t="n">
        <v>3.276</v>
      </c>
      <c r="H19" s="6" t="inlineStr">
        <is>
          <t>Management Reserve priced as 5.0% of P50 from sector template, location factor 2.50, scale factor 1.90, complexity factor 1.00.</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75"/>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DDT&amp;E Engineering</t>
        </is>
      </c>
      <c r="F6" s="6" t="inlineStr">
        <is>
          <t>Direct</t>
        </is>
      </c>
      <c r="G6" s="8" t="n">
        <v>4.082</v>
      </c>
      <c r="H6" s="8" t="n">
        <v>4.536</v>
      </c>
      <c r="I6" s="8" t="n">
        <v>5.216</v>
      </c>
    </row>
    <row r="7">
      <c r="A7" s="6" t="n">
        <v>1</v>
      </c>
      <c r="B7" s="6" t="inlineStr">
        <is>
          <t>Class 1 Definitive/Bid</t>
        </is>
      </c>
      <c r="C7" s="6" t="inlineStr">
        <is>
          <t>65-100% definition maturity</t>
        </is>
      </c>
      <c r="D7" s="6" t="inlineStr">
        <is>
          <t>01.02</t>
        </is>
      </c>
      <c r="E7" s="6" t="inlineStr">
        <is>
          <t>Systems Engineering &amp; Integration</t>
        </is>
      </c>
      <c r="F7" s="6" t="inlineStr">
        <is>
          <t>Direct</t>
        </is>
      </c>
      <c r="G7" s="8" t="n">
        <v>2.722</v>
      </c>
      <c r="H7" s="8" t="n">
        <v>3.024</v>
      </c>
      <c r="I7" s="8" t="n">
        <v>3.478</v>
      </c>
    </row>
    <row r="8">
      <c r="A8" s="6" t="n">
        <v>1</v>
      </c>
      <c r="B8" s="6" t="inlineStr">
        <is>
          <t>Class 1 Definitive/Bid</t>
        </is>
      </c>
      <c r="C8" s="6" t="inlineStr">
        <is>
          <t>65-100% definition maturity</t>
        </is>
      </c>
      <c r="D8" s="6" t="inlineStr">
        <is>
          <t>01.03</t>
        </is>
      </c>
      <c r="E8" s="6" t="inlineStr">
        <is>
          <t>Structures / Habitat Shell</t>
        </is>
      </c>
      <c r="F8" s="6" t="inlineStr">
        <is>
          <t>Direct</t>
        </is>
      </c>
      <c r="G8" s="8" t="n">
        <v>4.536</v>
      </c>
      <c r="H8" s="8" t="n">
        <v>5.04</v>
      </c>
      <c r="I8" s="8" t="n">
        <v>5.796</v>
      </c>
    </row>
    <row r="9">
      <c r="A9" s="6" t="n">
        <v>1</v>
      </c>
      <c r="B9" s="6" t="inlineStr">
        <is>
          <t>Class 1 Definitive/Bid</t>
        </is>
      </c>
      <c r="C9" s="6" t="inlineStr">
        <is>
          <t>65-100% definition maturity</t>
        </is>
      </c>
      <c r="D9" s="6" t="inlineStr">
        <is>
          <t>01.04</t>
        </is>
      </c>
      <c r="E9" s="6" t="inlineStr">
        <is>
          <t>Power Generation &amp; Distribution</t>
        </is>
      </c>
      <c r="F9" s="6" t="inlineStr">
        <is>
          <t>Direct</t>
        </is>
      </c>
      <c r="G9" s="8" t="n">
        <v>3.629</v>
      </c>
      <c r="H9" s="8" t="n">
        <v>4.032</v>
      </c>
      <c r="I9" s="8" t="n">
        <v>4.637</v>
      </c>
    </row>
    <row r="10">
      <c r="A10" s="6" t="n">
        <v>1</v>
      </c>
      <c r="B10" s="6" t="inlineStr">
        <is>
          <t>Class 1 Definitive/Bid</t>
        </is>
      </c>
      <c r="C10" s="6" t="inlineStr">
        <is>
          <t>65-100% definition maturity</t>
        </is>
      </c>
      <c r="D10" s="6" t="inlineStr">
        <is>
          <t>01.05</t>
        </is>
      </c>
      <c r="E10" s="6" t="inlineStr">
        <is>
          <t>ECLSS / Life Support</t>
        </is>
      </c>
      <c r="F10" s="6" t="inlineStr">
        <is>
          <t>Direct</t>
        </is>
      </c>
      <c r="G10" s="8" t="n">
        <v>4.082</v>
      </c>
      <c r="H10" s="8" t="n">
        <v>4.536</v>
      </c>
      <c r="I10" s="8" t="n">
        <v>5.216</v>
      </c>
    </row>
    <row r="11">
      <c r="A11" s="6" t="n">
        <v>1</v>
      </c>
      <c r="B11" s="6" t="inlineStr">
        <is>
          <t>Class 1 Definitive/Bid</t>
        </is>
      </c>
      <c r="C11" s="6" t="inlineStr">
        <is>
          <t>65-100% definition maturity</t>
        </is>
      </c>
      <c r="D11" s="6" t="inlineStr">
        <is>
          <t>01.06</t>
        </is>
      </c>
      <c r="E11" s="6" t="inlineStr">
        <is>
          <t>Payload / Mission Equipment</t>
        </is>
      </c>
      <c r="F11" s="6" t="inlineStr">
        <is>
          <t>Direct</t>
        </is>
      </c>
      <c r="G11" s="8" t="n">
        <v>3.175</v>
      </c>
      <c r="H11" s="8" t="n">
        <v>3.528</v>
      </c>
      <c r="I11" s="8" t="n">
        <v>4.057</v>
      </c>
    </row>
    <row r="12">
      <c r="A12" s="6" t="n">
        <v>1</v>
      </c>
      <c r="B12" s="6" t="inlineStr">
        <is>
          <t>Class 1 Definitive/Bid</t>
        </is>
      </c>
      <c r="C12" s="6" t="inlineStr">
        <is>
          <t>65-100% definition maturity</t>
        </is>
      </c>
      <c r="D12" s="6" t="inlineStr">
        <is>
          <t>01.07</t>
        </is>
      </c>
      <c r="E12" s="6" t="inlineStr">
        <is>
          <t>Robotics / Autonomous Construction</t>
        </is>
      </c>
      <c r="F12" s="6" t="inlineStr">
        <is>
          <t>Direct</t>
        </is>
      </c>
      <c r="G12" s="8" t="n">
        <v>2.722</v>
      </c>
      <c r="H12" s="8" t="n">
        <v>3.024</v>
      </c>
      <c r="I12" s="8" t="n">
        <v>3.478</v>
      </c>
    </row>
    <row r="13">
      <c r="A13" s="6" t="n">
        <v>1</v>
      </c>
      <c r="B13" s="6" t="inlineStr">
        <is>
          <t>Class 1 Definitive/Bid</t>
        </is>
      </c>
      <c r="C13" s="6" t="inlineStr">
        <is>
          <t>65-100% definition maturity</t>
        </is>
      </c>
      <c r="D13" s="6" t="inlineStr">
        <is>
          <t>01.08</t>
        </is>
      </c>
      <c r="E13" s="6" t="inlineStr">
        <is>
          <t>Launch Services</t>
        </is>
      </c>
      <c r="F13" s="6" t="inlineStr">
        <is>
          <t>Direct</t>
        </is>
      </c>
      <c r="G13" s="8" t="n">
        <v>6.35</v>
      </c>
      <c r="H13" s="8" t="n">
        <v>7.056</v>
      </c>
      <c r="I13" s="8" t="n">
        <v>8.114000000000001</v>
      </c>
    </row>
    <row r="14">
      <c r="A14" s="6" t="n">
        <v>1</v>
      </c>
      <c r="B14" s="6" t="inlineStr">
        <is>
          <t>Class 1 Definitive/Bid</t>
        </is>
      </c>
      <c r="C14" s="6" t="inlineStr">
        <is>
          <t>65-100% definition maturity</t>
        </is>
      </c>
      <c r="D14" s="6" t="inlineStr">
        <is>
          <t>01.09</t>
        </is>
      </c>
      <c r="E14" s="6" t="inlineStr">
        <is>
          <t>Transport / Landing / Surface Logistics</t>
        </is>
      </c>
      <c r="F14" s="6" t="inlineStr">
        <is>
          <t>Direct</t>
        </is>
      </c>
      <c r="G14" s="8" t="n">
        <v>4.082</v>
      </c>
      <c r="H14" s="8" t="n">
        <v>4.536</v>
      </c>
      <c r="I14" s="8" t="n">
        <v>5.216</v>
      </c>
    </row>
    <row r="15">
      <c r="A15" s="6" t="n">
        <v>1</v>
      </c>
      <c r="B15" s="6" t="inlineStr">
        <is>
          <t>Class 1 Definitive/Bid</t>
        </is>
      </c>
      <c r="C15" s="6" t="inlineStr">
        <is>
          <t>65-100% definition maturity</t>
        </is>
      </c>
      <c r="D15" s="6" t="inlineStr">
        <is>
          <t>02.01</t>
        </is>
      </c>
      <c r="E15" s="6" t="inlineStr">
        <is>
          <t>Test &amp; Qualification Facilities</t>
        </is>
      </c>
      <c r="F15" s="6" t="inlineStr">
        <is>
          <t>Indirect</t>
        </is>
      </c>
      <c r="G15" s="8" t="n">
        <v>2.268</v>
      </c>
      <c r="H15" s="8" t="n">
        <v>2.52</v>
      </c>
      <c r="I15" s="8" t="n">
        <v>2.898</v>
      </c>
    </row>
    <row r="16">
      <c r="A16" s="6" t="n">
        <v>1</v>
      </c>
      <c r="B16" s="6" t="inlineStr">
        <is>
          <t>Class 1 Definitive/Bid</t>
        </is>
      </c>
      <c r="C16" s="6" t="inlineStr">
        <is>
          <t>65-100% definition maturity</t>
        </is>
      </c>
      <c r="D16" s="6" t="inlineStr">
        <is>
          <t>02.02</t>
        </is>
      </c>
      <c r="E16" s="6" t="inlineStr">
        <is>
          <t>Safety &amp; Mission Assurance</t>
        </is>
      </c>
      <c r="F16" s="6" t="inlineStr">
        <is>
          <t>Indirect</t>
        </is>
      </c>
      <c r="G16" s="8" t="n">
        <v>2.268</v>
      </c>
      <c r="H16" s="8" t="n">
        <v>2.52</v>
      </c>
      <c r="I16" s="8" t="n">
        <v>2.898</v>
      </c>
    </row>
    <row r="17">
      <c r="A17" s="6" t="n">
        <v>1</v>
      </c>
      <c r="B17" s="6" t="inlineStr">
        <is>
          <t>Class 1 Definitive/Bid</t>
        </is>
      </c>
      <c r="C17" s="6" t="inlineStr">
        <is>
          <t>65-100% definition maturity</t>
        </is>
      </c>
      <c r="D17" s="6" t="inlineStr">
        <is>
          <t>02.03</t>
        </is>
      </c>
      <c r="E17" s="6" t="inlineStr">
        <is>
          <t>Programme Management / PMO</t>
        </is>
      </c>
      <c r="F17" s="6" t="inlineStr">
        <is>
          <t>Indirect</t>
        </is>
      </c>
      <c r="G17" s="8" t="n">
        <v>2.268</v>
      </c>
      <c r="H17" s="8" t="n">
        <v>2.52</v>
      </c>
      <c r="I17" s="8" t="n">
        <v>2.898</v>
      </c>
    </row>
    <row r="18">
      <c r="A18" s="6" t="n">
        <v>1</v>
      </c>
      <c r="B18" s="6" t="inlineStr">
        <is>
          <t>Class 1 Definitive/Bid</t>
        </is>
      </c>
      <c r="C18" s="6" t="inlineStr">
        <is>
          <t>65-100% definition maturity</t>
        </is>
      </c>
      <c r="D18" s="6" t="inlineStr">
        <is>
          <t>03.01</t>
        </is>
      </c>
      <c r="E18" s="6" t="inlineStr">
        <is>
          <t>Risk Contingency / UFE</t>
        </is>
      </c>
      <c r="F18" s="6" t="inlineStr">
        <is>
          <t>Reserve</t>
        </is>
      </c>
      <c r="G18" s="8" t="n">
        <v>3.175</v>
      </c>
      <c r="H18" s="8" t="n">
        <v>3.528</v>
      </c>
      <c r="I18" s="8" t="n">
        <v>4.057</v>
      </c>
    </row>
    <row r="19">
      <c r="A19" s="6" t="n">
        <v>1</v>
      </c>
      <c r="B19" s="6" t="inlineStr">
        <is>
          <t>Class 1 Definitive/Bid</t>
        </is>
      </c>
      <c r="C19" s="6" t="inlineStr">
        <is>
          <t>65-100% definition maturity</t>
        </is>
      </c>
      <c r="D19" s="6" t="inlineStr">
        <is>
          <t>03.02</t>
        </is>
      </c>
      <c r="E19" s="6" t="inlineStr">
        <is>
          <t>Management Reserve</t>
        </is>
      </c>
      <c r="F19" s="6" t="inlineStr">
        <is>
          <t>Reserve</t>
        </is>
      </c>
      <c r="G19" s="8" t="n">
        <v>2.268</v>
      </c>
      <c r="H19" s="8" t="n">
        <v>2.52</v>
      </c>
      <c r="I19" s="8" t="n">
        <v>2.898</v>
      </c>
    </row>
    <row r="20">
      <c r="A20" s="6" t="n">
        <v>2</v>
      </c>
      <c r="B20" s="6" t="inlineStr">
        <is>
          <t>Class 2 Control/Tender</t>
        </is>
      </c>
      <c r="C20" s="6" t="inlineStr">
        <is>
          <t>30-75% definition maturity</t>
        </is>
      </c>
      <c r="D20" s="6" t="inlineStr">
        <is>
          <t>01.01</t>
        </is>
      </c>
      <c r="E20" s="6" t="inlineStr">
        <is>
          <t>DDT&amp;E Engineering</t>
        </is>
      </c>
      <c r="F20" s="6" t="inlineStr">
        <is>
          <t>Direct</t>
        </is>
      </c>
      <c r="G20" s="8" t="n">
        <v>3.856</v>
      </c>
      <c r="H20" s="8" t="n">
        <v>4.536</v>
      </c>
      <c r="I20" s="8" t="n">
        <v>5.443</v>
      </c>
    </row>
    <row r="21">
      <c r="A21" s="6" t="n">
        <v>2</v>
      </c>
      <c r="B21" s="6" t="inlineStr">
        <is>
          <t>Class 2 Control/Tender</t>
        </is>
      </c>
      <c r="C21" s="6" t="inlineStr">
        <is>
          <t>30-75% definition maturity</t>
        </is>
      </c>
      <c r="D21" s="6" t="inlineStr">
        <is>
          <t>01.02</t>
        </is>
      </c>
      <c r="E21" s="6" t="inlineStr">
        <is>
          <t>Systems Engineering &amp; Integration</t>
        </is>
      </c>
      <c r="F21" s="6" t="inlineStr">
        <is>
          <t>Direct</t>
        </is>
      </c>
      <c r="G21" s="8" t="n">
        <v>2.57</v>
      </c>
      <c r="H21" s="8" t="n">
        <v>3.024</v>
      </c>
      <c r="I21" s="8" t="n">
        <v>3.629</v>
      </c>
    </row>
    <row r="22">
      <c r="A22" s="6" t="n">
        <v>2</v>
      </c>
      <c r="B22" s="6" t="inlineStr">
        <is>
          <t>Class 2 Control/Tender</t>
        </is>
      </c>
      <c r="C22" s="6" t="inlineStr">
        <is>
          <t>30-75% definition maturity</t>
        </is>
      </c>
      <c r="D22" s="6" t="inlineStr">
        <is>
          <t>01.03</t>
        </is>
      </c>
      <c r="E22" s="6" t="inlineStr">
        <is>
          <t>Structures / Habitat Shell</t>
        </is>
      </c>
      <c r="F22" s="6" t="inlineStr">
        <is>
          <t>Direct</t>
        </is>
      </c>
      <c r="G22" s="8" t="n">
        <v>4.284</v>
      </c>
      <c r="H22" s="8" t="n">
        <v>5.04</v>
      </c>
      <c r="I22" s="8" t="n">
        <v>6.048</v>
      </c>
    </row>
    <row r="23">
      <c r="A23" s="6" t="n">
        <v>2</v>
      </c>
      <c r="B23" s="6" t="inlineStr">
        <is>
          <t>Class 2 Control/Tender</t>
        </is>
      </c>
      <c r="C23" s="6" t="inlineStr">
        <is>
          <t>30-75% definition maturity</t>
        </is>
      </c>
      <c r="D23" s="6" t="inlineStr">
        <is>
          <t>01.04</t>
        </is>
      </c>
      <c r="E23" s="6" t="inlineStr">
        <is>
          <t>Power Generation &amp; Distribution</t>
        </is>
      </c>
      <c r="F23" s="6" t="inlineStr">
        <is>
          <t>Direct</t>
        </is>
      </c>
      <c r="G23" s="8" t="n">
        <v>3.427</v>
      </c>
      <c r="H23" s="8" t="n">
        <v>4.032</v>
      </c>
      <c r="I23" s="8" t="n">
        <v>4.838</v>
      </c>
    </row>
    <row r="24">
      <c r="A24" s="6" t="n">
        <v>2</v>
      </c>
      <c r="B24" s="6" t="inlineStr">
        <is>
          <t>Class 2 Control/Tender</t>
        </is>
      </c>
      <c r="C24" s="6" t="inlineStr">
        <is>
          <t>30-75% definition maturity</t>
        </is>
      </c>
      <c r="D24" s="6" t="inlineStr">
        <is>
          <t>01.05</t>
        </is>
      </c>
      <c r="E24" s="6" t="inlineStr">
        <is>
          <t>ECLSS / Life Support</t>
        </is>
      </c>
      <c r="F24" s="6" t="inlineStr">
        <is>
          <t>Direct</t>
        </is>
      </c>
      <c r="G24" s="8" t="n">
        <v>3.856</v>
      </c>
      <c r="H24" s="8" t="n">
        <v>4.536</v>
      </c>
      <c r="I24" s="8" t="n">
        <v>5.443</v>
      </c>
    </row>
    <row r="25">
      <c r="A25" s="6" t="n">
        <v>2</v>
      </c>
      <c r="B25" s="6" t="inlineStr">
        <is>
          <t>Class 2 Control/Tender</t>
        </is>
      </c>
      <c r="C25" s="6" t="inlineStr">
        <is>
          <t>30-75% definition maturity</t>
        </is>
      </c>
      <c r="D25" s="6" t="inlineStr">
        <is>
          <t>01.06</t>
        </is>
      </c>
      <c r="E25" s="6" t="inlineStr">
        <is>
          <t>Payload / Mission Equipment</t>
        </is>
      </c>
      <c r="F25" s="6" t="inlineStr">
        <is>
          <t>Direct</t>
        </is>
      </c>
      <c r="G25" s="8" t="n">
        <v>2.999</v>
      </c>
      <c r="H25" s="8" t="n">
        <v>3.528</v>
      </c>
      <c r="I25" s="8" t="n">
        <v>4.234</v>
      </c>
    </row>
    <row r="26">
      <c r="A26" s="6" t="n">
        <v>2</v>
      </c>
      <c r="B26" s="6" t="inlineStr">
        <is>
          <t>Class 2 Control/Tender</t>
        </is>
      </c>
      <c r="C26" s="6" t="inlineStr">
        <is>
          <t>30-75% definition maturity</t>
        </is>
      </c>
      <c r="D26" s="6" t="inlineStr">
        <is>
          <t>01.07</t>
        </is>
      </c>
      <c r="E26" s="6" t="inlineStr">
        <is>
          <t>Robotics / Autonomous Construction</t>
        </is>
      </c>
      <c r="F26" s="6" t="inlineStr">
        <is>
          <t>Direct</t>
        </is>
      </c>
      <c r="G26" s="8" t="n">
        <v>2.57</v>
      </c>
      <c r="H26" s="8" t="n">
        <v>3.024</v>
      </c>
      <c r="I26" s="8" t="n">
        <v>3.629</v>
      </c>
    </row>
    <row r="27">
      <c r="A27" s="6" t="n">
        <v>2</v>
      </c>
      <c r="B27" s="6" t="inlineStr">
        <is>
          <t>Class 2 Control/Tender</t>
        </is>
      </c>
      <c r="C27" s="6" t="inlineStr">
        <is>
          <t>30-75% definition maturity</t>
        </is>
      </c>
      <c r="D27" s="6" t="inlineStr">
        <is>
          <t>01.08</t>
        </is>
      </c>
      <c r="E27" s="6" t="inlineStr">
        <is>
          <t>Launch Services</t>
        </is>
      </c>
      <c r="F27" s="6" t="inlineStr">
        <is>
          <t>Direct</t>
        </is>
      </c>
      <c r="G27" s="8" t="n">
        <v>5.998</v>
      </c>
      <c r="H27" s="8" t="n">
        <v>7.056</v>
      </c>
      <c r="I27" s="8" t="n">
        <v>8.467000000000001</v>
      </c>
    </row>
    <row r="28">
      <c r="A28" s="6" t="n">
        <v>2</v>
      </c>
      <c r="B28" s="6" t="inlineStr">
        <is>
          <t>Class 2 Control/Tender</t>
        </is>
      </c>
      <c r="C28" s="6" t="inlineStr">
        <is>
          <t>30-75% definition maturity</t>
        </is>
      </c>
      <c r="D28" s="6" t="inlineStr">
        <is>
          <t>01.09</t>
        </is>
      </c>
      <c r="E28" s="6" t="inlineStr">
        <is>
          <t>Transport / Landing / Surface Logistics</t>
        </is>
      </c>
      <c r="F28" s="6" t="inlineStr">
        <is>
          <t>Direct</t>
        </is>
      </c>
      <c r="G28" s="8" t="n">
        <v>3.856</v>
      </c>
      <c r="H28" s="8" t="n">
        <v>4.536</v>
      </c>
      <c r="I28" s="8" t="n">
        <v>5.443</v>
      </c>
    </row>
    <row r="29">
      <c r="A29" s="6" t="n">
        <v>2</v>
      </c>
      <c r="B29" s="6" t="inlineStr">
        <is>
          <t>Class 2 Control/Tender</t>
        </is>
      </c>
      <c r="C29" s="6" t="inlineStr">
        <is>
          <t>30-75% definition maturity</t>
        </is>
      </c>
      <c r="D29" s="6" t="inlineStr">
        <is>
          <t>02.01</t>
        </is>
      </c>
      <c r="E29" s="6" t="inlineStr">
        <is>
          <t>Test &amp; Qualification Facilities</t>
        </is>
      </c>
      <c r="F29" s="6" t="inlineStr">
        <is>
          <t>Indirect</t>
        </is>
      </c>
      <c r="G29" s="8" t="n">
        <v>2.142</v>
      </c>
      <c r="H29" s="8" t="n">
        <v>2.52</v>
      </c>
      <c r="I29" s="8" t="n">
        <v>3.024</v>
      </c>
    </row>
    <row r="30">
      <c r="A30" s="6" t="n">
        <v>2</v>
      </c>
      <c r="B30" s="6" t="inlineStr">
        <is>
          <t>Class 2 Control/Tender</t>
        </is>
      </c>
      <c r="C30" s="6" t="inlineStr">
        <is>
          <t>30-75% definition maturity</t>
        </is>
      </c>
      <c r="D30" s="6" t="inlineStr">
        <is>
          <t>02.02</t>
        </is>
      </c>
      <c r="E30" s="6" t="inlineStr">
        <is>
          <t>Safety &amp; Mission Assurance</t>
        </is>
      </c>
      <c r="F30" s="6" t="inlineStr">
        <is>
          <t>Indirect</t>
        </is>
      </c>
      <c r="G30" s="8" t="n">
        <v>2.142</v>
      </c>
      <c r="H30" s="8" t="n">
        <v>2.52</v>
      </c>
      <c r="I30" s="8" t="n">
        <v>3.024</v>
      </c>
    </row>
    <row r="31">
      <c r="A31" s="6" t="n">
        <v>2</v>
      </c>
      <c r="B31" s="6" t="inlineStr">
        <is>
          <t>Class 2 Control/Tender</t>
        </is>
      </c>
      <c r="C31" s="6" t="inlineStr">
        <is>
          <t>30-75% definition maturity</t>
        </is>
      </c>
      <c r="D31" s="6" t="inlineStr">
        <is>
          <t>02.03</t>
        </is>
      </c>
      <c r="E31" s="6" t="inlineStr">
        <is>
          <t>Programme Management / PMO</t>
        </is>
      </c>
      <c r="F31" s="6" t="inlineStr">
        <is>
          <t>Indirect</t>
        </is>
      </c>
      <c r="G31" s="8" t="n">
        <v>2.142</v>
      </c>
      <c r="H31" s="8" t="n">
        <v>2.52</v>
      </c>
      <c r="I31" s="8" t="n">
        <v>3.024</v>
      </c>
    </row>
    <row r="32">
      <c r="A32" s="6" t="n">
        <v>2</v>
      </c>
      <c r="B32" s="6" t="inlineStr">
        <is>
          <t>Class 2 Control/Tender</t>
        </is>
      </c>
      <c r="C32" s="6" t="inlineStr">
        <is>
          <t>30-75% definition maturity</t>
        </is>
      </c>
      <c r="D32" s="6" t="inlineStr">
        <is>
          <t>03.01</t>
        </is>
      </c>
      <c r="E32" s="6" t="inlineStr">
        <is>
          <t>Risk Contingency / UFE</t>
        </is>
      </c>
      <c r="F32" s="6" t="inlineStr">
        <is>
          <t>Reserve</t>
        </is>
      </c>
      <c r="G32" s="8" t="n">
        <v>2.999</v>
      </c>
      <c r="H32" s="8" t="n">
        <v>3.528</v>
      </c>
      <c r="I32" s="8" t="n">
        <v>4.234</v>
      </c>
    </row>
    <row r="33">
      <c r="A33" s="6" t="n">
        <v>2</v>
      </c>
      <c r="B33" s="6" t="inlineStr">
        <is>
          <t>Class 2 Control/Tender</t>
        </is>
      </c>
      <c r="C33" s="6" t="inlineStr">
        <is>
          <t>30-75% definition maturity</t>
        </is>
      </c>
      <c r="D33" s="6" t="inlineStr">
        <is>
          <t>03.02</t>
        </is>
      </c>
      <c r="E33" s="6" t="inlineStr">
        <is>
          <t>Management Reserve</t>
        </is>
      </c>
      <c r="F33" s="6" t="inlineStr">
        <is>
          <t>Reserve</t>
        </is>
      </c>
      <c r="G33" s="8" t="n">
        <v>2.142</v>
      </c>
      <c r="H33" s="8" t="n">
        <v>2.52</v>
      </c>
      <c r="I33" s="8" t="n">
        <v>3.024</v>
      </c>
    </row>
    <row r="34">
      <c r="A34" s="6" t="n">
        <v>3</v>
      </c>
      <c r="B34" s="6" t="inlineStr">
        <is>
          <t>Class 3 Budget Authorization</t>
        </is>
      </c>
      <c r="C34" s="6" t="inlineStr">
        <is>
          <t>10-40% definition maturity</t>
        </is>
      </c>
      <c r="D34" s="6" t="inlineStr">
        <is>
          <t>01.01</t>
        </is>
      </c>
      <c r="E34" s="6" t="inlineStr">
        <is>
          <t>DDT&amp;E Engineering</t>
        </is>
      </c>
      <c r="F34" s="6" t="inlineStr">
        <is>
          <t>Direct</t>
        </is>
      </c>
      <c r="G34" s="8" t="n">
        <v>3.629</v>
      </c>
      <c r="H34" s="8" t="n">
        <v>4.536</v>
      </c>
      <c r="I34" s="8" t="n">
        <v>5.897</v>
      </c>
    </row>
    <row r="35">
      <c r="A35" s="6" t="n">
        <v>3</v>
      </c>
      <c r="B35" s="6" t="inlineStr">
        <is>
          <t>Class 3 Budget Authorization</t>
        </is>
      </c>
      <c r="C35" s="6" t="inlineStr">
        <is>
          <t>10-40% definition maturity</t>
        </is>
      </c>
      <c r="D35" s="6" t="inlineStr">
        <is>
          <t>01.02</t>
        </is>
      </c>
      <c r="E35" s="6" t="inlineStr">
        <is>
          <t>Systems Engineering &amp; Integration</t>
        </is>
      </c>
      <c r="F35" s="6" t="inlineStr">
        <is>
          <t>Direct</t>
        </is>
      </c>
      <c r="G35" s="8" t="n">
        <v>2.419</v>
      </c>
      <c r="H35" s="8" t="n">
        <v>3.024</v>
      </c>
      <c r="I35" s="8" t="n">
        <v>3.931</v>
      </c>
    </row>
    <row r="36">
      <c r="A36" s="6" t="n">
        <v>3</v>
      </c>
      <c r="B36" s="6" t="inlineStr">
        <is>
          <t>Class 3 Budget Authorization</t>
        </is>
      </c>
      <c r="C36" s="6" t="inlineStr">
        <is>
          <t>10-40% definition maturity</t>
        </is>
      </c>
      <c r="D36" s="6" t="inlineStr">
        <is>
          <t>01.03</t>
        </is>
      </c>
      <c r="E36" s="6" t="inlineStr">
        <is>
          <t>Structures / Habitat Shell</t>
        </is>
      </c>
      <c r="F36" s="6" t="inlineStr">
        <is>
          <t>Direct</t>
        </is>
      </c>
      <c r="G36" s="8" t="n">
        <v>4.032</v>
      </c>
      <c r="H36" s="8" t="n">
        <v>5.04</v>
      </c>
      <c r="I36" s="8" t="n">
        <v>6.552</v>
      </c>
    </row>
    <row r="37">
      <c r="A37" s="6" t="n">
        <v>3</v>
      </c>
      <c r="B37" s="6" t="inlineStr">
        <is>
          <t>Class 3 Budget Authorization</t>
        </is>
      </c>
      <c r="C37" s="6" t="inlineStr">
        <is>
          <t>10-40% definition maturity</t>
        </is>
      </c>
      <c r="D37" s="6" t="inlineStr">
        <is>
          <t>01.04</t>
        </is>
      </c>
      <c r="E37" s="6" t="inlineStr">
        <is>
          <t>Power Generation &amp; Distribution</t>
        </is>
      </c>
      <c r="F37" s="6" t="inlineStr">
        <is>
          <t>Direct</t>
        </is>
      </c>
      <c r="G37" s="8" t="n">
        <v>3.226</v>
      </c>
      <c r="H37" s="8" t="n">
        <v>4.032</v>
      </c>
      <c r="I37" s="8" t="n">
        <v>5.242</v>
      </c>
    </row>
    <row r="38">
      <c r="A38" s="6" t="n">
        <v>3</v>
      </c>
      <c r="B38" s="6" t="inlineStr">
        <is>
          <t>Class 3 Budget Authorization</t>
        </is>
      </c>
      <c r="C38" s="6" t="inlineStr">
        <is>
          <t>10-40% definition maturity</t>
        </is>
      </c>
      <c r="D38" s="6" t="inlineStr">
        <is>
          <t>01.05</t>
        </is>
      </c>
      <c r="E38" s="6" t="inlineStr">
        <is>
          <t>ECLSS / Life Support</t>
        </is>
      </c>
      <c r="F38" s="6" t="inlineStr">
        <is>
          <t>Direct</t>
        </is>
      </c>
      <c r="G38" s="8" t="n">
        <v>3.629</v>
      </c>
      <c r="H38" s="8" t="n">
        <v>4.536</v>
      </c>
      <c r="I38" s="8" t="n">
        <v>5.897</v>
      </c>
    </row>
    <row r="39">
      <c r="A39" s="6" t="n">
        <v>3</v>
      </c>
      <c r="B39" s="6" t="inlineStr">
        <is>
          <t>Class 3 Budget Authorization</t>
        </is>
      </c>
      <c r="C39" s="6" t="inlineStr">
        <is>
          <t>10-40% definition maturity</t>
        </is>
      </c>
      <c r="D39" s="6" t="inlineStr">
        <is>
          <t>01.06</t>
        </is>
      </c>
      <c r="E39" s="6" t="inlineStr">
        <is>
          <t>Payload / Mission Equipment</t>
        </is>
      </c>
      <c r="F39" s="6" t="inlineStr">
        <is>
          <t>Direct</t>
        </is>
      </c>
      <c r="G39" s="8" t="n">
        <v>2.822</v>
      </c>
      <c r="H39" s="8" t="n">
        <v>3.528</v>
      </c>
      <c r="I39" s="8" t="n">
        <v>4.586</v>
      </c>
    </row>
    <row r="40">
      <c r="A40" s="6" t="n">
        <v>3</v>
      </c>
      <c r="B40" s="6" t="inlineStr">
        <is>
          <t>Class 3 Budget Authorization</t>
        </is>
      </c>
      <c r="C40" s="6" t="inlineStr">
        <is>
          <t>10-40% definition maturity</t>
        </is>
      </c>
      <c r="D40" s="6" t="inlineStr">
        <is>
          <t>01.07</t>
        </is>
      </c>
      <c r="E40" s="6" t="inlineStr">
        <is>
          <t>Robotics / Autonomous Construction</t>
        </is>
      </c>
      <c r="F40" s="6" t="inlineStr">
        <is>
          <t>Direct</t>
        </is>
      </c>
      <c r="G40" s="8" t="n">
        <v>2.419</v>
      </c>
      <c r="H40" s="8" t="n">
        <v>3.024</v>
      </c>
      <c r="I40" s="8" t="n">
        <v>3.931</v>
      </c>
    </row>
    <row r="41">
      <c r="A41" s="6" t="n">
        <v>3</v>
      </c>
      <c r="B41" s="6" t="inlineStr">
        <is>
          <t>Class 3 Budget Authorization</t>
        </is>
      </c>
      <c r="C41" s="6" t="inlineStr">
        <is>
          <t>10-40% definition maturity</t>
        </is>
      </c>
      <c r="D41" s="6" t="inlineStr">
        <is>
          <t>01.08</t>
        </is>
      </c>
      <c r="E41" s="6" t="inlineStr">
        <is>
          <t>Launch Services</t>
        </is>
      </c>
      <c r="F41" s="6" t="inlineStr">
        <is>
          <t>Direct</t>
        </is>
      </c>
      <c r="G41" s="8" t="n">
        <v>5.645</v>
      </c>
      <c r="H41" s="8" t="n">
        <v>7.056</v>
      </c>
      <c r="I41" s="8" t="n">
        <v>9.173</v>
      </c>
    </row>
    <row r="42">
      <c r="A42" s="6" t="n">
        <v>3</v>
      </c>
      <c r="B42" s="6" t="inlineStr">
        <is>
          <t>Class 3 Budget Authorization</t>
        </is>
      </c>
      <c r="C42" s="6" t="inlineStr">
        <is>
          <t>10-40% definition maturity</t>
        </is>
      </c>
      <c r="D42" s="6" t="inlineStr">
        <is>
          <t>01.09</t>
        </is>
      </c>
      <c r="E42" s="6" t="inlineStr">
        <is>
          <t>Transport / Landing / Surface Logistics</t>
        </is>
      </c>
      <c r="F42" s="6" t="inlineStr">
        <is>
          <t>Direct</t>
        </is>
      </c>
      <c r="G42" s="8" t="n">
        <v>3.629</v>
      </c>
      <c r="H42" s="8" t="n">
        <v>4.536</v>
      </c>
      <c r="I42" s="8" t="n">
        <v>5.897</v>
      </c>
    </row>
    <row r="43">
      <c r="A43" s="6" t="n">
        <v>3</v>
      </c>
      <c r="B43" s="6" t="inlineStr">
        <is>
          <t>Class 3 Budget Authorization</t>
        </is>
      </c>
      <c r="C43" s="6" t="inlineStr">
        <is>
          <t>10-40% definition maturity</t>
        </is>
      </c>
      <c r="D43" s="6" t="inlineStr">
        <is>
          <t>02.01</t>
        </is>
      </c>
      <c r="E43" s="6" t="inlineStr">
        <is>
          <t>Test &amp; Qualification Facilities</t>
        </is>
      </c>
      <c r="F43" s="6" t="inlineStr">
        <is>
          <t>Indirect</t>
        </is>
      </c>
      <c r="G43" s="8" t="n">
        <v>2.016</v>
      </c>
      <c r="H43" s="8" t="n">
        <v>2.52</v>
      </c>
      <c r="I43" s="8" t="n">
        <v>3.276</v>
      </c>
    </row>
    <row r="44">
      <c r="A44" s="6" t="n">
        <v>3</v>
      </c>
      <c r="B44" s="6" t="inlineStr">
        <is>
          <t>Class 3 Budget Authorization</t>
        </is>
      </c>
      <c r="C44" s="6" t="inlineStr">
        <is>
          <t>10-40% definition maturity</t>
        </is>
      </c>
      <c r="D44" s="6" t="inlineStr">
        <is>
          <t>02.02</t>
        </is>
      </c>
      <c r="E44" s="6" t="inlineStr">
        <is>
          <t>Safety &amp; Mission Assurance</t>
        </is>
      </c>
      <c r="F44" s="6" t="inlineStr">
        <is>
          <t>Indirect</t>
        </is>
      </c>
      <c r="G44" s="8" t="n">
        <v>2.016</v>
      </c>
      <c r="H44" s="8" t="n">
        <v>2.52</v>
      </c>
      <c r="I44" s="8" t="n">
        <v>3.276</v>
      </c>
    </row>
    <row r="45">
      <c r="A45" s="6" t="n">
        <v>3</v>
      </c>
      <c r="B45" s="6" t="inlineStr">
        <is>
          <t>Class 3 Budget Authorization</t>
        </is>
      </c>
      <c r="C45" s="6" t="inlineStr">
        <is>
          <t>10-40% definition maturity</t>
        </is>
      </c>
      <c r="D45" s="6" t="inlineStr">
        <is>
          <t>02.03</t>
        </is>
      </c>
      <c r="E45" s="6" t="inlineStr">
        <is>
          <t>Programme Management / PMO</t>
        </is>
      </c>
      <c r="F45" s="6" t="inlineStr">
        <is>
          <t>Indirect</t>
        </is>
      </c>
      <c r="G45" s="8" t="n">
        <v>2.016</v>
      </c>
      <c r="H45" s="8" t="n">
        <v>2.52</v>
      </c>
      <c r="I45" s="8" t="n">
        <v>3.276</v>
      </c>
    </row>
    <row r="46">
      <c r="A46" s="6" t="n">
        <v>3</v>
      </c>
      <c r="B46" s="6" t="inlineStr">
        <is>
          <t>Class 3 Budget Authorization</t>
        </is>
      </c>
      <c r="C46" s="6" t="inlineStr">
        <is>
          <t>10-40% definition maturity</t>
        </is>
      </c>
      <c r="D46" s="6" t="inlineStr">
        <is>
          <t>03.01</t>
        </is>
      </c>
      <c r="E46" s="6" t="inlineStr">
        <is>
          <t>Risk Contingency / UFE</t>
        </is>
      </c>
      <c r="F46" s="6" t="inlineStr">
        <is>
          <t>Reserve</t>
        </is>
      </c>
      <c r="G46" s="8" t="n">
        <v>2.822</v>
      </c>
      <c r="H46" s="8" t="n">
        <v>3.528</v>
      </c>
      <c r="I46" s="8" t="n">
        <v>4.586</v>
      </c>
    </row>
    <row r="47">
      <c r="A47" s="6" t="n">
        <v>3</v>
      </c>
      <c r="B47" s="6" t="inlineStr">
        <is>
          <t>Class 3 Budget Authorization</t>
        </is>
      </c>
      <c r="C47" s="6" t="inlineStr">
        <is>
          <t>10-40% definition maturity</t>
        </is>
      </c>
      <c r="D47" s="6" t="inlineStr">
        <is>
          <t>03.02</t>
        </is>
      </c>
      <c r="E47" s="6" t="inlineStr">
        <is>
          <t>Management Reserve</t>
        </is>
      </c>
      <c r="F47" s="6" t="inlineStr">
        <is>
          <t>Reserve</t>
        </is>
      </c>
      <c r="G47" s="8" t="n">
        <v>2.016</v>
      </c>
      <c r="H47" s="8" t="n">
        <v>2.52</v>
      </c>
      <c r="I47" s="8" t="n">
        <v>3.276</v>
      </c>
    </row>
    <row r="48">
      <c r="A48" s="6" t="n">
        <v>4</v>
      </c>
      <c r="B48" s="6" t="inlineStr">
        <is>
          <t>Class 4 Feasibility</t>
        </is>
      </c>
      <c r="C48" s="6" t="inlineStr">
        <is>
          <t>1-15% definition maturity</t>
        </is>
      </c>
      <c r="D48" s="6" t="inlineStr">
        <is>
          <t>01.01</t>
        </is>
      </c>
      <c r="E48" s="6" t="inlineStr">
        <is>
          <t>DDT&amp;E Engineering</t>
        </is>
      </c>
      <c r="F48" s="6" t="inlineStr">
        <is>
          <t>Direct</t>
        </is>
      </c>
      <c r="G48" s="8" t="n">
        <v>3.175</v>
      </c>
      <c r="H48" s="8" t="n">
        <v>4.536</v>
      </c>
      <c r="I48" s="8" t="n">
        <v>6.804</v>
      </c>
    </row>
    <row r="49">
      <c r="A49" s="6" t="n">
        <v>4</v>
      </c>
      <c r="B49" s="6" t="inlineStr">
        <is>
          <t>Class 4 Feasibility</t>
        </is>
      </c>
      <c r="C49" s="6" t="inlineStr">
        <is>
          <t>1-15% definition maturity</t>
        </is>
      </c>
      <c r="D49" s="6" t="inlineStr">
        <is>
          <t>01.02</t>
        </is>
      </c>
      <c r="E49" s="6" t="inlineStr">
        <is>
          <t>Systems Engineering &amp; Integration</t>
        </is>
      </c>
      <c r="F49" s="6" t="inlineStr">
        <is>
          <t>Direct</t>
        </is>
      </c>
      <c r="G49" s="8" t="n">
        <v>2.117</v>
      </c>
      <c r="H49" s="8" t="n">
        <v>3.024</v>
      </c>
      <c r="I49" s="8" t="n">
        <v>4.536</v>
      </c>
    </row>
    <row r="50">
      <c r="A50" s="6" t="n">
        <v>4</v>
      </c>
      <c r="B50" s="6" t="inlineStr">
        <is>
          <t>Class 4 Feasibility</t>
        </is>
      </c>
      <c r="C50" s="6" t="inlineStr">
        <is>
          <t>1-15% definition maturity</t>
        </is>
      </c>
      <c r="D50" s="6" t="inlineStr">
        <is>
          <t>01.03</t>
        </is>
      </c>
      <c r="E50" s="6" t="inlineStr">
        <is>
          <t>Structures / Habitat Shell</t>
        </is>
      </c>
      <c r="F50" s="6" t="inlineStr">
        <is>
          <t>Direct</t>
        </is>
      </c>
      <c r="G50" s="8" t="n">
        <v>3.528</v>
      </c>
      <c r="H50" s="8" t="n">
        <v>5.04</v>
      </c>
      <c r="I50" s="8" t="n">
        <v>7.56</v>
      </c>
    </row>
    <row r="51">
      <c r="A51" s="6" t="n">
        <v>4</v>
      </c>
      <c r="B51" s="6" t="inlineStr">
        <is>
          <t>Class 4 Feasibility</t>
        </is>
      </c>
      <c r="C51" s="6" t="inlineStr">
        <is>
          <t>1-15% definition maturity</t>
        </is>
      </c>
      <c r="D51" s="6" t="inlineStr">
        <is>
          <t>01.04</t>
        </is>
      </c>
      <c r="E51" s="6" t="inlineStr">
        <is>
          <t>Power Generation &amp; Distribution</t>
        </is>
      </c>
      <c r="F51" s="6" t="inlineStr">
        <is>
          <t>Direct</t>
        </is>
      </c>
      <c r="G51" s="8" t="n">
        <v>2.822</v>
      </c>
      <c r="H51" s="8" t="n">
        <v>4.032</v>
      </c>
      <c r="I51" s="8" t="n">
        <v>6.048</v>
      </c>
    </row>
    <row r="52">
      <c r="A52" s="6" t="n">
        <v>4</v>
      </c>
      <c r="B52" s="6" t="inlineStr">
        <is>
          <t>Class 4 Feasibility</t>
        </is>
      </c>
      <c r="C52" s="6" t="inlineStr">
        <is>
          <t>1-15% definition maturity</t>
        </is>
      </c>
      <c r="D52" s="6" t="inlineStr">
        <is>
          <t>01.05</t>
        </is>
      </c>
      <c r="E52" s="6" t="inlineStr">
        <is>
          <t>ECLSS / Life Support</t>
        </is>
      </c>
      <c r="F52" s="6" t="inlineStr">
        <is>
          <t>Direct</t>
        </is>
      </c>
      <c r="G52" s="8" t="n">
        <v>3.175</v>
      </c>
      <c r="H52" s="8" t="n">
        <v>4.536</v>
      </c>
      <c r="I52" s="8" t="n">
        <v>6.804</v>
      </c>
    </row>
    <row r="53">
      <c r="A53" s="6" t="n">
        <v>4</v>
      </c>
      <c r="B53" s="6" t="inlineStr">
        <is>
          <t>Class 4 Feasibility</t>
        </is>
      </c>
      <c r="C53" s="6" t="inlineStr">
        <is>
          <t>1-15% definition maturity</t>
        </is>
      </c>
      <c r="D53" s="6" t="inlineStr">
        <is>
          <t>01.06</t>
        </is>
      </c>
      <c r="E53" s="6" t="inlineStr">
        <is>
          <t>Payload / Mission Equipment</t>
        </is>
      </c>
      <c r="F53" s="6" t="inlineStr">
        <is>
          <t>Direct</t>
        </is>
      </c>
      <c r="G53" s="8" t="n">
        <v>2.47</v>
      </c>
      <c r="H53" s="8" t="n">
        <v>3.528</v>
      </c>
      <c r="I53" s="8" t="n">
        <v>5.292</v>
      </c>
    </row>
    <row r="54">
      <c r="A54" s="6" t="n">
        <v>4</v>
      </c>
      <c r="B54" s="6" t="inlineStr">
        <is>
          <t>Class 4 Feasibility</t>
        </is>
      </c>
      <c r="C54" s="6" t="inlineStr">
        <is>
          <t>1-15% definition maturity</t>
        </is>
      </c>
      <c r="D54" s="6" t="inlineStr">
        <is>
          <t>01.07</t>
        </is>
      </c>
      <c r="E54" s="6" t="inlineStr">
        <is>
          <t>Robotics / Autonomous Construction</t>
        </is>
      </c>
      <c r="F54" s="6" t="inlineStr">
        <is>
          <t>Direct</t>
        </is>
      </c>
      <c r="G54" s="8" t="n">
        <v>2.117</v>
      </c>
      <c r="H54" s="8" t="n">
        <v>3.024</v>
      </c>
      <c r="I54" s="8" t="n">
        <v>4.536</v>
      </c>
    </row>
    <row r="55">
      <c r="A55" s="6" t="n">
        <v>4</v>
      </c>
      <c r="B55" s="6" t="inlineStr">
        <is>
          <t>Class 4 Feasibility</t>
        </is>
      </c>
      <c r="C55" s="6" t="inlineStr">
        <is>
          <t>1-15% definition maturity</t>
        </is>
      </c>
      <c r="D55" s="6" t="inlineStr">
        <is>
          <t>01.08</t>
        </is>
      </c>
      <c r="E55" s="6" t="inlineStr">
        <is>
          <t>Launch Services</t>
        </is>
      </c>
      <c r="F55" s="6" t="inlineStr">
        <is>
          <t>Direct</t>
        </is>
      </c>
      <c r="G55" s="8" t="n">
        <v>4.939</v>
      </c>
      <c r="H55" s="8" t="n">
        <v>7.056</v>
      </c>
      <c r="I55" s="8" t="n">
        <v>10.584</v>
      </c>
    </row>
    <row r="56">
      <c r="A56" s="6" t="n">
        <v>4</v>
      </c>
      <c r="B56" s="6" t="inlineStr">
        <is>
          <t>Class 4 Feasibility</t>
        </is>
      </c>
      <c r="C56" s="6" t="inlineStr">
        <is>
          <t>1-15% definition maturity</t>
        </is>
      </c>
      <c r="D56" s="6" t="inlineStr">
        <is>
          <t>01.09</t>
        </is>
      </c>
      <c r="E56" s="6" t="inlineStr">
        <is>
          <t>Transport / Landing / Surface Logistics</t>
        </is>
      </c>
      <c r="F56" s="6" t="inlineStr">
        <is>
          <t>Direct</t>
        </is>
      </c>
      <c r="G56" s="8" t="n">
        <v>3.175</v>
      </c>
      <c r="H56" s="8" t="n">
        <v>4.536</v>
      </c>
      <c r="I56" s="8" t="n">
        <v>6.804</v>
      </c>
    </row>
    <row r="57">
      <c r="A57" s="6" t="n">
        <v>4</v>
      </c>
      <c r="B57" s="6" t="inlineStr">
        <is>
          <t>Class 4 Feasibility</t>
        </is>
      </c>
      <c r="C57" s="6" t="inlineStr">
        <is>
          <t>1-15% definition maturity</t>
        </is>
      </c>
      <c r="D57" s="6" t="inlineStr">
        <is>
          <t>02.01</t>
        </is>
      </c>
      <c r="E57" s="6" t="inlineStr">
        <is>
          <t>Test &amp; Qualification Facilities</t>
        </is>
      </c>
      <c r="F57" s="6" t="inlineStr">
        <is>
          <t>Indirect</t>
        </is>
      </c>
      <c r="G57" s="8" t="n">
        <v>1.764</v>
      </c>
      <c r="H57" s="8" t="n">
        <v>2.52</v>
      </c>
      <c r="I57" s="8" t="n">
        <v>3.78</v>
      </c>
    </row>
    <row r="58">
      <c r="A58" s="6" t="n">
        <v>4</v>
      </c>
      <c r="B58" s="6" t="inlineStr">
        <is>
          <t>Class 4 Feasibility</t>
        </is>
      </c>
      <c r="C58" s="6" t="inlineStr">
        <is>
          <t>1-15% definition maturity</t>
        </is>
      </c>
      <c r="D58" s="6" t="inlineStr">
        <is>
          <t>02.02</t>
        </is>
      </c>
      <c r="E58" s="6" t="inlineStr">
        <is>
          <t>Safety &amp; Mission Assurance</t>
        </is>
      </c>
      <c r="F58" s="6" t="inlineStr">
        <is>
          <t>Indirect</t>
        </is>
      </c>
      <c r="G58" s="8" t="n">
        <v>1.764</v>
      </c>
      <c r="H58" s="8" t="n">
        <v>2.52</v>
      </c>
      <c r="I58" s="8" t="n">
        <v>3.78</v>
      </c>
    </row>
    <row r="59">
      <c r="A59" s="6" t="n">
        <v>4</v>
      </c>
      <c r="B59" s="6" t="inlineStr">
        <is>
          <t>Class 4 Feasibility</t>
        </is>
      </c>
      <c r="C59" s="6" t="inlineStr">
        <is>
          <t>1-15% definition maturity</t>
        </is>
      </c>
      <c r="D59" s="6" t="inlineStr">
        <is>
          <t>02.03</t>
        </is>
      </c>
      <c r="E59" s="6" t="inlineStr">
        <is>
          <t>Programme Management / PMO</t>
        </is>
      </c>
      <c r="F59" s="6" t="inlineStr">
        <is>
          <t>Indirect</t>
        </is>
      </c>
      <c r="G59" s="8" t="n">
        <v>1.764</v>
      </c>
      <c r="H59" s="8" t="n">
        <v>2.52</v>
      </c>
      <c r="I59" s="8" t="n">
        <v>3.78</v>
      </c>
    </row>
    <row r="60">
      <c r="A60" s="6" t="n">
        <v>4</v>
      </c>
      <c r="B60" s="6" t="inlineStr">
        <is>
          <t>Class 4 Feasibility</t>
        </is>
      </c>
      <c r="C60" s="6" t="inlineStr">
        <is>
          <t>1-15% definition maturity</t>
        </is>
      </c>
      <c r="D60" s="6" t="inlineStr">
        <is>
          <t>03.01</t>
        </is>
      </c>
      <c r="E60" s="6" t="inlineStr">
        <is>
          <t>Risk Contingency / UFE</t>
        </is>
      </c>
      <c r="F60" s="6" t="inlineStr">
        <is>
          <t>Reserve</t>
        </is>
      </c>
      <c r="G60" s="8" t="n">
        <v>2.47</v>
      </c>
      <c r="H60" s="8" t="n">
        <v>3.528</v>
      </c>
      <c r="I60" s="8" t="n">
        <v>5.292</v>
      </c>
    </row>
    <row r="61">
      <c r="A61" s="6" t="n">
        <v>4</v>
      </c>
      <c r="B61" s="6" t="inlineStr">
        <is>
          <t>Class 4 Feasibility</t>
        </is>
      </c>
      <c r="C61" s="6" t="inlineStr">
        <is>
          <t>1-15% definition maturity</t>
        </is>
      </c>
      <c r="D61" s="6" t="inlineStr">
        <is>
          <t>03.02</t>
        </is>
      </c>
      <c r="E61" s="6" t="inlineStr">
        <is>
          <t>Management Reserve</t>
        </is>
      </c>
      <c r="F61" s="6" t="inlineStr">
        <is>
          <t>Reserve</t>
        </is>
      </c>
      <c r="G61" s="8" t="n">
        <v>1.764</v>
      </c>
      <c r="H61" s="8" t="n">
        <v>2.52</v>
      </c>
      <c r="I61" s="8" t="n">
        <v>3.78</v>
      </c>
    </row>
    <row r="62">
      <c r="A62" s="6" t="n">
        <v>5</v>
      </c>
      <c r="B62" s="6" t="inlineStr">
        <is>
          <t>Class 5 Concept Screening</t>
        </is>
      </c>
      <c r="C62" s="6" t="inlineStr">
        <is>
          <t>0-2% definition maturity</t>
        </is>
      </c>
      <c r="D62" s="6" t="inlineStr">
        <is>
          <t>01.01</t>
        </is>
      </c>
      <c r="E62" s="6" t="inlineStr">
        <is>
          <t>DDT&amp;E Engineering</t>
        </is>
      </c>
      <c r="F62" s="6" t="inlineStr">
        <is>
          <t>Direct</t>
        </is>
      </c>
      <c r="G62" s="8" t="n">
        <v>2.268</v>
      </c>
      <c r="H62" s="8" t="n">
        <v>4.536</v>
      </c>
      <c r="I62" s="8" t="n">
        <v>9.071999999999999</v>
      </c>
    </row>
    <row r="63">
      <c r="A63" s="6" t="n">
        <v>5</v>
      </c>
      <c r="B63" s="6" t="inlineStr">
        <is>
          <t>Class 5 Concept Screening</t>
        </is>
      </c>
      <c r="C63" s="6" t="inlineStr">
        <is>
          <t>0-2% definition maturity</t>
        </is>
      </c>
      <c r="D63" s="6" t="inlineStr">
        <is>
          <t>01.02</t>
        </is>
      </c>
      <c r="E63" s="6" t="inlineStr">
        <is>
          <t>Systems Engineering &amp; Integration</t>
        </is>
      </c>
      <c r="F63" s="6" t="inlineStr">
        <is>
          <t>Direct</t>
        </is>
      </c>
      <c r="G63" s="8" t="n">
        <v>1.512</v>
      </c>
      <c r="H63" s="8" t="n">
        <v>3.024</v>
      </c>
      <c r="I63" s="8" t="n">
        <v>6.048</v>
      </c>
    </row>
    <row r="64">
      <c r="A64" s="6" t="n">
        <v>5</v>
      </c>
      <c r="B64" s="6" t="inlineStr">
        <is>
          <t>Class 5 Concept Screening</t>
        </is>
      </c>
      <c r="C64" s="6" t="inlineStr">
        <is>
          <t>0-2% definition maturity</t>
        </is>
      </c>
      <c r="D64" s="6" t="inlineStr">
        <is>
          <t>01.03</t>
        </is>
      </c>
      <c r="E64" s="6" t="inlineStr">
        <is>
          <t>Structures / Habitat Shell</t>
        </is>
      </c>
      <c r="F64" s="6" t="inlineStr">
        <is>
          <t>Direct</t>
        </is>
      </c>
      <c r="G64" s="8" t="n">
        <v>2.52</v>
      </c>
      <c r="H64" s="8" t="n">
        <v>5.04</v>
      </c>
      <c r="I64" s="8" t="n">
        <v>10.08</v>
      </c>
    </row>
    <row r="65">
      <c r="A65" s="6" t="n">
        <v>5</v>
      </c>
      <c r="B65" s="6" t="inlineStr">
        <is>
          <t>Class 5 Concept Screening</t>
        </is>
      </c>
      <c r="C65" s="6" t="inlineStr">
        <is>
          <t>0-2% definition maturity</t>
        </is>
      </c>
      <c r="D65" s="6" t="inlineStr">
        <is>
          <t>01.04</t>
        </is>
      </c>
      <c r="E65" s="6" t="inlineStr">
        <is>
          <t>Power Generation &amp; Distribution</t>
        </is>
      </c>
      <c r="F65" s="6" t="inlineStr">
        <is>
          <t>Direct</t>
        </is>
      </c>
      <c r="G65" s="8" t="n">
        <v>2.016</v>
      </c>
      <c r="H65" s="8" t="n">
        <v>4.032</v>
      </c>
      <c r="I65" s="8" t="n">
        <v>8.064</v>
      </c>
    </row>
    <row r="66">
      <c r="A66" s="6" t="n">
        <v>5</v>
      </c>
      <c r="B66" s="6" t="inlineStr">
        <is>
          <t>Class 5 Concept Screening</t>
        </is>
      </c>
      <c r="C66" s="6" t="inlineStr">
        <is>
          <t>0-2% definition maturity</t>
        </is>
      </c>
      <c r="D66" s="6" t="inlineStr">
        <is>
          <t>01.05</t>
        </is>
      </c>
      <c r="E66" s="6" t="inlineStr">
        <is>
          <t>ECLSS / Life Support</t>
        </is>
      </c>
      <c r="F66" s="6" t="inlineStr">
        <is>
          <t>Direct</t>
        </is>
      </c>
      <c r="G66" s="8" t="n">
        <v>2.268</v>
      </c>
      <c r="H66" s="8" t="n">
        <v>4.536</v>
      </c>
      <c r="I66" s="8" t="n">
        <v>9.071999999999999</v>
      </c>
    </row>
    <row r="67">
      <c r="A67" s="6" t="n">
        <v>5</v>
      </c>
      <c r="B67" s="6" t="inlineStr">
        <is>
          <t>Class 5 Concept Screening</t>
        </is>
      </c>
      <c r="C67" s="6" t="inlineStr">
        <is>
          <t>0-2% definition maturity</t>
        </is>
      </c>
      <c r="D67" s="6" t="inlineStr">
        <is>
          <t>01.06</t>
        </is>
      </c>
      <c r="E67" s="6" t="inlineStr">
        <is>
          <t>Payload / Mission Equipment</t>
        </is>
      </c>
      <c r="F67" s="6" t="inlineStr">
        <is>
          <t>Direct</t>
        </is>
      </c>
      <c r="G67" s="8" t="n">
        <v>1.764</v>
      </c>
      <c r="H67" s="8" t="n">
        <v>3.528</v>
      </c>
      <c r="I67" s="8" t="n">
        <v>7.056</v>
      </c>
    </row>
    <row r="68">
      <c r="A68" s="6" t="n">
        <v>5</v>
      </c>
      <c r="B68" s="6" t="inlineStr">
        <is>
          <t>Class 5 Concept Screening</t>
        </is>
      </c>
      <c r="C68" s="6" t="inlineStr">
        <is>
          <t>0-2% definition maturity</t>
        </is>
      </c>
      <c r="D68" s="6" t="inlineStr">
        <is>
          <t>01.07</t>
        </is>
      </c>
      <c r="E68" s="6" t="inlineStr">
        <is>
          <t>Robotics / Autonomous Construction</t>
        </is>
      </c>
      <c r="F68" s="6" t="inlineStr">
        <is>
          <t>Direct</t>
        </is>
      </c>
      <c r="G68" s="8" t="n">
        <v>1.512</v>
      </c>
      <c r="H68" s="8" t="n">
        <v>3.024</v>
      </c>
      <c r="I68" s="8" t="n">
        <v>6.048</v>
      </c>
    </row>
    <row r="69">
      <c r="A69" s="6" t="n">
        <v>5</v>
      </c>
      <c r="B69" s="6" t="inlineStr">
        <is>
          <t>Class 5 Concept Screening</t>
        </is>
      </c>
      <c r="C69" s="6" t="inlineStr">
        <is>
          <t>0-2% definition maturity</t>
        </is>
      </c>
      <c r="D69" s="6" t="inlineStr">
        <is>
          <t>01.08</t>
        </is>
      </c>
      <c r="E69" s="6" t="inlineStr">
        <is>
          <t>Launch Services</t>
        </is>
      </c>
      <c r="F69" s="6" t="inlineStr">
        <is>
          <t>Direct</t>
        </is>
      </c>
      <c r="G69" s="8" t="n">
        <v>3.528</v>
      </c>
      <c r="H69" s="8" t="n">
        <v>7.056</v>
      </c>
      <c r="I69" s="8" t="n">
        <v>14.112</v>
      </c>
    </row>
    <row r="70">
      <c r="A70" s="6" t="n">
        <v>5</v>
      </c>
      <c r="B70" s="6" t="inlineStr">
        <is>
          <t>Class 5 Concept Screening</t>
        </is>
      </c>
      <c r="C70" s="6" t="inlineStr">
        <is>
          <t>0-2% definition maturity</t>
        </is>
      </c>
      <c r="D70" s="6" t="inlineStr">
        <is>
          <t>01.09</t>
        </is>
      </c>
      <c r="E70" s="6" t="inlineStr">
        <is>
          <t>Transport / Landing / Surface Logistics</t>
        </is>
      </c>
      <c r="F70" s="6" t="inlineStr">
        <is>
          <t>Direct</t>
        </is>
      </c>
      <c r="G70" s="8" t="n">
        <v>2.268</v>
      </c>
      <c r="H70" s="8" t="n">
        <v>4.536</v>
      </c>
      <c r="I70" s="8" t="n">
        <v>9.071999999999999</v>
      </c>
    </row>
    <row r="71">
      <c r="A71" s="6" t="n">
        <v>5</v>
      </c>
      <c r="B71" s="6" t="inlineStr">
        <is>
          <t>Class 5 Concept Screening</t>
        </is>
      </c>
      <c r="C71" s="6" t="inlineStr">
        <is>
          <t>0-2% definition maturity</t>
        </is>
      </c>
      <c r="D71" s="6" t="inlineStr">
        <is>
          <t>02.01</t>
        </is>
      </c>
      <c r="E71" s="6" t="inlineStr">
        <is>
          <t>Test &amp; Qualification Facilities</t>
        </is>
      </c>
      <c r="F71" s="6" t="inlineStr">
        <is>
          <t>Indirect</t>
        </is>
      </c>
      <c r="G71" s="8" t="n">
        <v>1.26</v>
      </c>
      <c r="H71" s="8" t="n">
        <v>2.52</v>
      </c>
      <c r="I71" s="8" t="n">
        <v>5.04</v>
      </c>
    </row>
    <row r="72">
      <c r="A72" s="6" t="n">
        <v>5</v>
      </c>
      <c r="B72" s="6" t="inlineStr">
        <is>
          <t>Class 5 Concept Screening</t>
        </is>
      </c>
      <c r="C72" s="6" t="inlineStr">
        <is>
          <t>0-2% definition maturity</t>
        </is>
      </c>
      <c r="D72" s="6" t="inlineStr">
        <is>
          <t>02.02</t>
        </is>
      </c>
      <c r="E72" s="6" t="inlineStr">
        <is>
          <t>Safety &amp; Mission Assurance</t>
        </is>
      </c>
      <c r="F72" s="6" t="inlineStr">
        <is>
          <t>Indirect</t>
        </is>
      </c>
      <c r="G72" s="8" t="n">
        <v>1.26</v>
      </c>
      <c r="H72" s="8" t="n">
        <v>2.52</v>
      </c>
      <c r="I72" s="8" t="n">
        <v>5.04</v>
      </c>
    </row>
    <row r="73">
      <c r="A73" s="6" t="n">
        <v>5</v>
      </c>
      <c r="B73" s="6" t="inlineStr">
        <is>
          <t>Class 5 Concept Screening</t>
        </is>
      </c>
      <c r="C73" s="6" t="inlineStr">
        <is>
          <t>0-2% definition maturity</t>
        </is>
      </c>
      <c r="D73" s="6" t="inlineStr">
        <is>
          <t>02.03</t>
        </is>
      </c>
      <c r="E73" s="6" t="inlineStr">
        <is>
          <t>Programme Management / PMO</t>
        </is>
      </c>
      <c r="F73" s="6" t="inlineStr">
        <is>
          <t>Indirect</t>
        </is>
      </c>
      <c r="G73" s="8" t="n">
        <v>1.26</v>
      </c>
      <c r="H73" s="8" t="n">
        <v>2.52</v>
      </c>
      <c r="I73" s="8" t="n">
        <v>5.04</v>
      </c>
    </row>
    <row r="74">
      <c r="A74" s="6" t="n">
        <v>5</v>
      </c>
      <c r="B74" s="6" t="inlineStr">
        <is>
          <t>Class 5 Concept Screening</t>
        </is>
      </c>
      <c r="C74" s="6" t="inlineStr">
        <is>
          <t>0-2% definition maturity</t>
        </is>
      </c>
      <c r="D74" s="6" t="inlineStr">
        <is>
          <t>03.01</t>
        </is>
      </c>
      <c r="E74" s="6" t="inlineStr">
        <is>
          <t>Risk Contingency / UFE</t>
        </is>
      </c>
      <c r="F74" s="6" t="inlineStr">
        <is>
          <t>Reserve</t>
        </is>
      </c>
      <c r="G74" s="8" t="n">
        <v>1.764</v>
      </c>
      <c r="H74" s="8" t="n">
        <v>3.528</v>
      </c>
      <c r="I74" s="8" t="n">
        <v>7.056</v>
      </c>
    </row>
    <row r="75">
      <c r="A75" s="6" t="n">
        <v>5</v>
      </c>
      <c r="B75" s="6" t="inlineStr">
        <is>
          <t>Class 5 Concept Screening</t>
        </is>
      </c>
      <c r="C75" s="6" t="inlineStr">
        <is>
          <t>0-2% definition maturity</t>
        </is>
      </c>
      <c r="D75" s="6" t="inlineStr">
        <is>
          <t>03.02</t>
        </is>
      </c>
      <c r="E75" s="6" t="inlineStr">
        <is>
          <t>Management Reserve</t>
        </is>
      </c>
      <c r="F75" s="6" t="inlineStr">
        <is>
          <t>Reserve</t>
        </is>
      </c>
      <c r="G75" s="8" t="n">
        <v>1.26</v>
      </c>
      <c r="H75" s="8" t="n">
        <v>2.52</v>
      </c>
      <c r="I75" s="8" t="n">
        <v>5.04</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$66.5B</t>
        </is>
      </c>
      <c r="C6" s="6" t="n">
        <v>134</v>
      </c>
      <c r="D6" s="6" t="inlineStr">
        <is>
          <t>Extreme</t>
        </is>
      </c>
      <c r="E6" s="6" t="n">
        <v>46</v>
      </c>
      <c r="F6" s="6" t="inlineStr">
        <is>
          <t>Balanced reference case.</t>
        </is>
      </c>
      <c r="G6" s="6" t="inlineStr">
        <is>
          <t>Decision trade-off: cost / time / risk / confidence</t>
        </is>
      </c>
    </row>
    <row r="7">
      <c r="A7" s="6" t="inlineStr">
        <is>
          <t>Faster</t>
        </is>
      </c>
      <c r="B7" s="6" t="inlineStr">
        <is>
          <t>$73.8B</t>
        </is>
      </c>
      <c r="C7" s="6" t="n">
        <v>110</v>
      </c>
      <c r="D7" s="6" t="inlineStr">
        <is>
          <t>Extreme</t>
        </is>
      </c>
      <c r="E7" s="6" t="n">
        <v>41</v>
      </c>
      <c r="F7" s="6" t="inlineStr">
        <is>
          <t>Parallel design/procurement, acceleration, premium logistics and higher interface risk.</t>
        </is>
      </c>
      <c r="G7" s="6" t="inlineStr">
        <is>
          <t>Decision trade-off: cost / time / risk / confidence</t>
        </is>
      </c>
    </row>
    <row r="8">
      <c r="A8" s="6" t="inlineStr">
        <is>
          <t>Cheaper</t>
        </is>
      </c>
      <c r="B8" s="6" t="inlineStr">
        <is>
          <t>$58.5B</t>
        </is>
      </c>
      <c r="C8" s="6" t="n">
        <v>145</v>
      </c>
      <c r="D8" s="6" t="inlineStr">
        <is>
          <t>Extreme</t>
        </is>
      </c>
      <c r="E8" s="6" t="n">
        <v>40</v>
      </c>
      <c r="F8" s="6" t="inlineStr">
        <is>
          <t>Value engineering, tighter scope and procurement competition, with schedule/quality exposure.</t>
        </is>
      </c>
      <c r="G8" s="6" t="inlineStr">
        <is>
          <t>Decision trade-off: cost / time / risk / confidence</t>
        </is>
      </c>
    </row>
    <row r="9">
      <c r="A9" s="6" t="inlineStr">
        <is>
          <t>Lower Risk</t>
        </is>
      </c>
      <c r="B9" s="6" t="inlineStr">
        <is>
          <t>$72.5B</t>
        </is>
      </c>
      <c r="C9" s="6" t="n">
        <v>147</v>
      </c>
      <c r="D9" s="6" t="inlineStr">
        <is>
          <t>High</t>
        </is>
      </c>
      <c r="E9" s="6" t="n">
        <v>65</v>
      </c>
      <c r="F9" s="6" t="inlineStr">
        <is>
          <t>More surveys, assurance, stage gates, contingency and schedule buffers.</t>
        </is>
      </c>
      <c r="G9" s="6" t="inlineStr">
        <is>
          <t>Decision trade-off: cost / time / risk / confidence</t>
        </is>
      </c>
    </row>
    <row r="10">
      <c r="A10" s="6" t="inlineStr">
        <is>
          <t>Premium</t>
        </is>
      </c>
      <c r="B10" s="6" t="inlineStr">
        <is>
          <t>$76.5B</t>
        </is>
      </c>
      <c r="C10" s="6" t="n">
        <v>139</v>
      </c>
      <c r="D10" s="6" t="inlineStr">
        <is>
          <t>High</t>
        </is>
      </c>
      <c r="E10" s="6" t="n">
        <v>68</v>
      </c>
      <c r="F10" s="6" t="inlineStr">
        <is>
          <t>Best assurance, independent review, early procurement and high-confidence governance.</t>
        </is>
      </c>
      <c r="G10" s="6" t="inlineStr">
        <is>
          <t>Decision trade-off: cost / time / risk / confidence</t>
        </is>
      </c>
    </row>
    <row r="11">
      <c r="A11" s="6" t="inlineStr">
        <is>
          <t>Investor</t>
        </is>
      </c>
      <c r="B11" s="6" t="inlineStr">
        <is>
          <t>$65.2B</t>
        </is>
      </c>
      <c r="C11" s="6" t="n">
        <v>134</v>
      </c>
      <c r="D11" s="6" t="inlineStr">
        <is>
          <t>Very High</t>
        </is>
      </c>
      <c r="E11" s="6" t="n">
        <v>55</v>
      </c>
      <c r="F11" s="6" t="inlineStr">
        <is>
          <t>Investment-framing case with transparent risk and commercial challenge.</t>
        </is>
      </c>
      <c r="G11" s="6" t="inlineStr">
        <is>
          <t>Decision trade-off: cost / time / risk / confidence</t>
        </is>
      </c>
    </row>
    <row r="12">
      <c r="A12" s="6" t="inlineStr">
        <is>
          <t>Survival</t>
        </is>
      </c>
      <c r="B12" s="6" t="inlineStr">
        <is>
          <t>$51.9B</t>
        </is>
      </c>
      <c r="C12" s="6" t="n">
        <v>161</v>
      </c>
      <c r="D12" s="6" t="inlineStr">
        <is>
          <t>Extreme</t>
        </is>
      </c>
      <c r="E12" s="6" t="n">
        <v>36</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8"/>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R-S01</t>
        </is>
      </c>
      <c r="B6" s="6" t="inlineStr">
        <is>
          <t>Launch manifest delay</t>
        </is>
      </c>
      <c r="C6" s="6" t="inlineStr">
        <is>
          <t>Launch</t>
        </is>
      </c>
      <c r="D6" s="9" t="n">
        <v>52</v>
      </c>
      <c r="E6" s="6" t="inlineStr">
        <is>
          <t>Launch provider capacity, weather windows, manifest priority or vehicle readiness</t>
        </is>
      </c>
      <c r="F6" s="6" t="inlineStr">
        <is>
          <t>Launch manifest delay occurs or materialises during delivery.</t>
        </is>
      </c>
      <c r="G6" s="6" t="inlineStr">
        <is>
          <t>Programme delay, storage cost, resequencing and mission-readiness risk</t>
        </is>
      </c>
      <c r="H6" s="6" t="inlineStr">
        <is>
          <t>Launch Integration Lead</t>
        </is>
      </c>
      <c r="I6" s="6" t="inlineStr">
        <is>
          <t>Reserve alternate launch slot, freeze payload interface, maintain launch-readiness checklist</t>
        </is>
      </c>
      <c r="J6" s="6" t="inlineStr">
        <is>
          <t>Launch slot not confirmed at L-12 months</t>
        </is>
      </c>
      <c r="K6" s="6" t="inlineStr">
        <is>
          <t>Medium</t>
        </is>
      </c>
      <c r="L6" s="6" t="inlineStr">
        <is>
          <t>A1400</t>
        </is>
      </c>
      <c r="M6" s="6" t="inlineStr">
        <is>
          <t>Planning, regulatory and stakeholder approvals</t>
        </is>
      </c>
      <c r="N6" s="6" t="inlineStr">
        <is>
          <t>01.04</t>
        </is>
      </c>
      <c r="O6" s="6" t="inlineStr">
        <is>
          <t>Power Generation &amp; Distribution</t>
        </is>
      </c>
      <c r="P6" s="8" t="n">
        <v>2.883</v>
      </c>
      <c r="Q6" s="9" t="n">
        <v>31.2</v>
      </c>
    </row>
    <row r="7">
      <c r="A7" s="6" t="inlineStr">
        <is>
          <t>R-S02</t>
        </is>
      </c>
      <c r="B7" s="6" t="inlineStr">
        <is>
          <t>Mass growth</t>
        </is>
      </c>
      <c r="C7" s="6" t="inlineStr">
        <is>
          <t>Technical</t>
        </is>
      </c>
      <c r="D7" s="9" t="n">
        <v>44</v>
      </c>
      <c r="E7" s="6" t="inlineStr">
        <is>
          <t>Design creep, shielding, redundancy or late payload additions increase mass</t>
        </is>
      </c>
      <c r="F7" s="6" t="inlineStr">
        <is>
          <t>Mass growth occurs or materialises during delivery.</t>
        </is>
      </c>
      <c r="G7" s="6" t="inlineStr">
        <is>
          <t>Launch cost, redesign, performance loss and mission safety exposure</t>
        </is>
      </c>
      <c r="H7" s="6" t="inlineStr">
        <is>
          <t>Chief Engineer</t>
        </is>
      </c>
      <c r="I7" s="6" t="inlineStr">
        <is>
          <t>Mass control board, margin policy, design-to-mass reviews</t>
        </is>
      </c>
      <c r="J7" s="6" t="inlineStr">
        <is>
          <t>Mass margin below 8%</t>
        </is>
      </c>
      <c r="K7" s="6" t="inlineStr">
        <is>
          <t>Medium</t>
        </is>
      </c>
      <c r="L7" s="6" t="inlineStr">
        <is>
          <t>A1500</t>
        </is>
      </c>
      <c r="M7" s="6" t="inlineStr">
        <is>
          <t>Procurement strategy and tender packaging</t>
        </is>
      </c>
      <c r="N7" s="6" t="inlineStr">
        <is>
          <t>01.05</t>
        </is>
      </c>
      <c r="O7" s="6" t="inlineStr">
        <is>
          <t>ECLSS / Life Support</t>
        </is>
      </c>
      <c r="P7" s="8" t="n">
        <v>2.883</v>
      </c>
      <c r="Q7" s="9" t="n">
        <v>24.2</v>
      </c>
    </row>
    <row r="8">
      <c r="A8" s="6" t="inlineStr">
        <is>
          <t>R-S03</t>
        </is>
      </c>
      <c r="B8" s="6" t="inlineStr">
        <is>
          <t>Life-support reliability</t>
        </is>
      </c>
      <c r="C8" s="6" t="inlineStr">
        <is>
          <t>Safety / Mission</t>
        </is>
      </c>
      <c r="D8" s="9" t="n">
        <v>38</v>
      </c>
      <c r="E8" s="6" t="inlineStr">
        <is>
          <t>ECLSS reliability, spares or redundancy evidence below target</t>
        </is>
      </c>
      <c r="F8" s="6" t="inlineStr">
        <is>
          <t>Life-support reliability occurs or materialises during delivery.</t>
        </is>
      </c>
      <c r="G8" s="6" t="inlineStr">
        <is>
          <t>Crew safety exposure, launch delay, redesign and mission abort risk</t>
        </is>
      </c>
      <c r="H8" s="6" t="inlineStr">
        <is>
          <t>Life Support Lead</t>
        </is>
      </c>
      <c r="I8" s="6" t="inlineStr">
        <is>
          <t>Prototype testing, redundancy, reliability growth, independent assurance</t>
        </is>
      </c>
      <c r="J8" s="6" t="inlineStr">
        <is>
          <t>Reliability growth misses target</t>
        </is>
      </c>
      <c r="K8" s="6" t="inlineStr">
        <is>
          <t>Medium</t>
        </is>
      </c>
      <c r="L8" s="6" t="inlineStr">
        <is>
          <t>A1600</t>
        </is>
      </c>
      <c r="M8" s="6" t="inlineStr">
        <is>
          <t>Detailed design / IFC development</t>
        </is>
      </c>
      <c r="N8" s="6" t="inlineStr">
        <is>
          <t>01.06</t>
        </is>
      </c>
      <c r="O8" s="6" t="inlineStr">
        <is>
          <t>Payload / Mission Equipment</t>
        </is>
      </c>
      <c r="P8" s="8" t="n">
        <v>2.873</v>
      </c>
      <c r="Q8" s="9" t="n">
        <v>30.4</v>
      </c>
    </row>
    <row r="9">
      <c r="A9" s="6" t="inlineStr">
        <is>
          <t>R-002</t>
        </is>
      </c>
      <c r="B9" s="6" t="inlineStr">
        <is>
          <t>Market escalation</t>
        </is>
      </c>
      <c r="C9" s="6" t="inlineStr">
        <is>
          <t>Commercial</t>
        </is>
      </c>
      <c r="D9" s="9" t="n">
        <v>45</v>
      </c>
      <c r="E9" s="6" t="inlineStr">
        <is>
          <t>Supplier market tightness, inflation, FX and long procurement window</t>
        </is>
      </c>
      <c r="F9" s="6" t="inlineStr">
        <is>
          <t>Market escalation occurs or materialises during delivery.</t>
        </is>
      </c>
      <c r="G9" s="6" t="inlineStr">
        <is>
          <t>P50 cost becomes understated; commercial approvals or procurement strategy may need reset</t>
        </is>
      </c>
      <c r="H9" s="6" t="inlineStr">
        <is>
          <t>Commercial Lead</t>
        </is>
      </c>
      <c r="I9" s="6" t="inlineStr">
        <is>
          <t>Early procurement, index-linked allowances, market testing, FX strategy</t>
        </is>
      </c>
      <c r="J9" s="6" t="inlineStr">
        <is>
          <t>Index exceeds allowance by 3%</t>
        </is>
      </c>
      <c r="K9" s="6" t="inlineStr">
        <is>
          <t>Medium</t>
        </is>
      </c>
      <c r="L9" s="6" t="inlineStr">
        <is>
          <t>A1800</t>
        </is>
      </c>
      <c r="M9" s="6" t="inlineStr">
        <is>
          <t>Site / launch integration readiness</t>
        </is>
      </c>
      <c r="N9" s="6" t="inlineStr">
        <is>
          <t>01.08</t>
        </is>
      </c>
      <c r="O9" s="6" t="inlineStr">
        <is>
          <t>Launch Services</t>
        </is>
      </c>
      <c r="P9" s="8" t="n">
        <v>2.268</v>
      </c>
      <c r="Q9" s="9" t="n">
        <v>0.1</v>
      </c>
    </row>
    <row r="10">
      <c r="A10" s="6" t="inlineStr">
        <is>
          <t>R-004</t>
        </is>
      </c>
      <c r="B10" s="6" t="inlineStr">
        <is>
          <t>Design maturity gap</t>
        </is>
      </c>
      <c r="C10" s="6" t="inlineStr">
        <is>
          <t>Technical</t>
        </is>
      </c>
      <c r="D10" s="9" t="n">
        <v>38</v>
      </c>
      <c r="E10" s="6" t="inlineStr">
        <is>
          <t>Estimate is based on immature design, incomplete surveys or unresolved interfaces</t>
        </is>
      </c>
      <c r="F10" s="6" t="inlineStr">
        <is>
          <t>Design maturity gap occurs or materialises during delivery.</t>
        </is>
      </c>
      <c r="G10" s="6" t="inlineStr">
        <is>
          <t>Cost growth, quantity movement, rework and schedule resequencing</t>
        </is>
      </c>
      <c r="H10" s="6" t="inlineStr">
        <is>
          <t>Design Manager</t>
        </is>
      </c>
      <c r="I10" s="6" t="inlineStr">
        <is>
          <t>Design maturity gates, independent review, assumption register</t>
        </is>
      </c>
      <c r="J10" s="6" t="inlineStr">
        <is>
          <t>Design deliverables miss maturity gate</t>
        </is>
      </c>
      <c r="K10" s="6" t="inlineStr">
        <is>
          <t>Medium</t>
        </is>
      </c>
      <c r="L10" s="6" t="inlineStr">
        <is>
          <t>A2000</t>
        </is>
      </c>
      <c r="M10" s="6" t="inlineStr">
        <is>
          <t>Systems integration and testing</t>
        </is>
      </c>
      <c r="N10" s="6" t="inlineStr">
        <is>
          <t>02.01</t>
        </is>
      </c>
      <c r="O10" s="6" t="inlineStr">
        <is>
          <t>Test &amp; Qualification Facilities</t>
        </is>
      </c>
      <c r="P10" s="8" t="n">
        <v>1.724</v>
      </c>
      <c r="Q10" s="9" t="n">
        <v>17.1</v>
      </c>
    </row>
    <row r="11">
      <c r="A11" s="6" t="inlineStr">
        <is>
          <t>R-001</t>
        </is>
      </c>
      <c r="B11" s="6" t="inlineStr">
        <is>
          <t>Scope growth</t>
        </is>
      </c>
      <c r="C11" s="6" t="inlineStr">
        <is>
          <t>Scope</t>
        </is>
      </c>
      <c r="D11" s="9" t="n">
        <v>42</v>
      </c>
      <c r="E11" s="6" t="inlineStr">
        <is>
          <t>Ambiguous requirements, immature scope freeze and late stakeholder changes</t>
        </is>
      </c>
      <c r="F11" s="6" t="inlineStr">
        <is>
          <t>Scope growth occurs or materialises during delivery.</t>
        </is>
      </c>
      <c r="G11" s="6" t="inlineStr">
        <is>
          <t>Additional quantities, redesign, rework, procurement churn and board contingency drawdown</t>
        </is>
      </c>
      <c r="H11" s="6" t="inlineStr">
        <is>
          <t>Project Director</t>
        </is>
      </c>
      <c r="I11" s="6" t="inlineStr">
        <is>
          <t>Freeze scope baseline, change board, value gates, client decision log</t>
        </is>
      </c>
      <c r="J11" s="6" t="inlineStr">
        <is>
          <t>Scope change rate exceeds 2% of package value</t>
        </is>
      </c>
      <c r="K11" s="6" t="inlineStr">
        <is>
          <t>Medium</t>
        </is>
      </c>
      <c r="L11" s="6" t="inlineStr">
        <is>
          <t>A1700</t>
        </is>
      </c>
      <c r="M11" s="6" t="inlineStr">
        <is>
          <t>Long-lead procurement</t>
        </is>
      </c>
      <c r="N11" s="6" t="inlineStr">
        <is>
          <t>01.07</t>
        </is>
      </c>
      <c r="O11" s="6" t="inlineStr">
        <is>
          <t>Robotics / Autonomous Construction</t>
        </is>
      </c>
      <c r="P11" s="8" t="n">
        <v>1.693</v>
      </c>
      <c r="Q11" s="9" t="n">
        <v>18.9</v>
      </c>
    </row>
    <row r="12">
      <c r="A12" s="6" t="inlineStr">
        <is>
          <t>R-006</t>
        </is>
      </c>
      <c r="B12" s="6" t="inlineStr">
        <is>
          <t>Productivity underperformance</t>
        </is>
      </c>
      <c r="C12" s="6" t="inlineStr">
        <is>
          <t>Delivery</t>
        </is>
      </c>
      <c r="D12" s="9" t="n">
        <v>35</v>
      </c>
      <c r="E12" s="6" t="inlineStr">
        <is>
          <t>Access constraints, poor sequencing, labour scarcity or learning curve</t>
        </is>
      </c>
      <c r="F12" s="6" t="inlineStr">
        <is>
          <t>Productivity underperformance occurs or materialises during delivery.</t>
        </is>
      </c>
      <c r="G12" s="6" t="inlineStr">
        <is>
          <t>Extended duration, increased preliminaries and loss of float</t>
        </is>
      </c>
      <c r="H12" s="6" t="inlineStr">
        <is>
          <t>Delivery Lead</t>
        </is>
      </c>
      <c r="I12" s="6" t="inlineStr">
        <is>
          <t>Package productivity controls, daily planning, earned value cadence</t>
        </is>
      </c>
      <c r="J12" s="6" t="inlineStr">
        <is>
          <t>SPI/CPI deteriorates for two reporting periods</t>
        </is>
      </c>
      <c r="K12" s="6" t="inlineStr">
        <is>
          <t>Medium</t>
        </is>
      </c>
      <c r="L12" s="6" t="inlineStr">
        <is>
          <t>P1000</t>
        </is>
      </c>
      <c r="M12" s="6" t="inlineStr">
        <is>
          <t>Launch campaign</t>
        </is>
      </c>
      <c r="N12" s="6" t="inlineStr">
        <is>
          <t>02.03</t>
        </is>
      </c>
      <c r="O12" s="6" t="inlineStr">
        <is>
          <t>Programme Management / PMO</t>
        </is>
      </c>
      <c r="P12" s="8" t="n">
        <v>1.411</v>
      </c>
      <c r="Q12" s="9" t="n">
        <v>17.5</v>
      </c>
    </row>
    <row r="13">
      <c r="A13" s="6" t="inlineStr">
        <is>
          <t>R-005</t>
        </is>
      </c>
      <c r="B13" s="6" t="inlineStr">
        <is>
          <t>Supply chain delay</t>
        </is>
      </c>
      <c r="C13" s="6" t="inlineStr">
        <is>
          <t>Procurement</t>
        </is>
      </c>
      <c r="D13" s="9" t="n">
        <v>40</v>
      </c>
      <c r="E13" s="6" t="inlineStr">
        <is>
          <t>Long-lead equipment, constrained suppliers or late procurement release</t>
        </is>
      </c>
      <c r="F13" s="6" t="inlineStr">
        <is>
          <t>Supply chain delay occurs or materialises during delivery.</t>
        </is>
      </c>
      <c r="G13" s="6" t="inlineStr">
        <is>
          <t>Delayed installation, critical path movement and acceleration cost</t>
        </is>
      </c>
      <c r="H13" s="6" t="inlineStr">
        <is>
          <t>Procurement Lead</t>
        </is>
      </c>
      <c r="I13" s="6" t="inlineStr">
        <is>
          <t>Alternate suppliers, early orders, expediting, framework options</t>
        </is>
      </c>
      <c r="J13" s="6" t="inlineStr">
        <is>
          <t>Supplier promise date slips</t>
        </is>
      </c>
      <c r="K13" s="6" t="inlineStr">
        <is>
          <t>Medium</t>
        </is>
      </c>
      <c r="L13" s="6" t="inlineStr">
        <is>
          <t>A2100</t>
        </is>
      </c>
      <c r="M13" s="6" t="inlineStr">
        <is>
          <t>Commissioning, operations readiness and closeout</t>
        </is>
      </c>
      <c r="N13" s="6" t="inlineStr">
        <is>
          <t>02.02</t>
        </is>
      </c>
      <c r="O13" s="6" t="inlineStr">
        <is>
          <t>Safety &amp; Mission Assurance</t>
        </is>
      </c>
      <c r="P13" s="8" t="n">
        <v>1.411</v>
      </c>
      <c r="Q13" s="9" t="n">
        <v>16</v>
      </c>
    </row>
    <row r="14">
      <c r="A14" s="6" t="inlineStr">
        <is>
          <t>R-008</t>
        </is>
      </c>
      <c r="B14" s="6" t="inlineStr">
        <is>
          <t>Interface misalignment</t>
        </is>
      </c>
      <c r="C14" s="6" t="inlineStr">
        <is>
          <t>Integration</t>
        </is>
      </c>
      <c r="D14" s="9" t="n">
        <v>34</v>
      </c>
      <c r="E14" s="6" t="inlineStr">
        <is>
          <t>Multiple contractors, unclear interface ownership or late design coordination</t>
        </is>
      </c>
      <c r="F14" s="6" t="inlineStr">
        <is>
          <t>Interface misalignment occurs or materialises during delivery.</t>
        </is>
      </c>
      <c r="G14" s="6" t="inlineStr">
        <is>
          <t>Rework, claims, delay and fragmented accountability</t>
        </is>
      </c>
      <c r="H14" s="6" t="inlineStr">
        <is>
          <t>Integration Manager</t>
        </is>
      </c>
      <c r="I14" s="6" t="inlineStr">
        <is>
          <t>Interface control documents, weekly interface board, accountable owners</t>
        </is>
      </c>
      <c r="J14" s="6" t="inlineStr">
        <is>
          <t>Interface actions overdue</t>
        </is>
      </c>
      <c r="K14" s="6" t="inlineStr">
        <is>
          <t>Medium</t>
        </is>
      </c>
      <c r="L14" s="6" t="inlineStr">
        <is>
          <t>P3000</t>
        </is>
      </c>
      <c r="M14" s="6" t="inlineStr">
        <is>
          <t>Power and ECLSS</t>
        </is>
      </c>
      <c r="N14" s="6" t="inlineStr">
        <is>
          <t>03.02</t>
        </is>
      </c>
      <c r="O14" s="6" t="inlineStr">
        <is>
          <t>Management Reserve</t>
        </is>
      </c>
      <c r="P14" s="8" t="n">
        <v>1.2</v>
      </c>
      <c r="Q14" s="9" t="n">
        <v>11.9</v>
      </c>
    </row>
    <row r="15">
      <c r="A15" s="6" t="inlineStr">
        <is>
          <t>R-007</t>
        </is>
      </c>
      <c r="B15" s="6" t="inlineStr">
        <is>
          <t>Commissioning delay</t>
        </is>
      </c>
      <c r="C15" s="6" t="inlineStr">
        <is>
          <t>Handover</t>
        </is>
      </c>
      <c r="D15" s="9" t="n">
        <v>32</v>
      </c>
      <c r="E15" s="6" t="inlineStr">
        <is>
          <t>Incomplete readiness, software integration issues or defects during testing</t>
        </is>
      </c>
      <c r="F15" s="6" t="inlineStr">
        <is>
          <t>Commissioning delay occurs or materialises during delivery.</t>
        </is>
      </c>
      <c r="G15" s="6" t="inlineStr">
        <is>
          <t>Delayed handover, operational readiness slippage and liquidated damages exposure</t>
        </is>
      </c>
      <c r="H15" s="6" t="inlineStr">
        <is>
          <t>Commissioning Lead</t>
        </is>
      </c>
      <c r="I15" s="6" t="inlineStr">
        <is>
          <t>Commissioning readiness plan, early test packs, digital systems integration</t>
        </is>
      </c>
      <c r="J15" s="6" t="inlineStr">
        <is>
          <t>Test failures trend upward</t>
        </is>
      </c>
      <c r="K15" s="6" t="inlineStr">
        <is>
          <t>Medium</t>
        </is>
      </c>
      <c r="L15" s="6" t="inlineStr">
        <is>
          <t>P2000</t>
        </is>
      </c>
      <c r="M15" s="6" t="inlineStr">
        <is>
          <t>Payload integration</t>
        </is>
      </c>
      <c r="N15" s="6" t="inlineStr">
        <is>
          <t>03.01</t>
        </is>
      </c>
      <c r="O15" s="6" t="inlineStr">
        <is>
          <t>Risk Contingency / UFE</t>
        </is>
      </c>
      <c r="P15" s="8" t="n">
        <v>0.968</v>
      </c>
      <c r="Q15" s="9" t="n">
        <v>11.2</v>
      </c>
    </row>
    <row r="16">
      <c r="A16" s="6" t="inlineStr">
        <is>
          <t>R-003</t>
        </is>
      </c>
      <c r="B16" s="6" t="inlineStr">
        <is>
          <t>Permits / approvals delay</t>
        </is>
      </c>
      <c r="C16" s="6" t="inlineStr">
        <is>
          <t>Regulatory</t>
        </is>
      </c>
      <c r="D16" s="9" t="n">
        <v>35</v>
      </c>
      <c r="E16" s="6" t="inlineStr">
        <is>
          <t>Authority process, stakeholder objections or incomplete submissions</t>
        </is>
      </c>
      <c r="F16" s="6" t="inlineStr">
        <is>
          <t>Permits / approvals delay occurs or materialises during delivery.</t>
        </is>
      </c>
      <c r="G16" s="6" t="inlineStr">
        <is>
          <t>Critical path delay, extended preliminaries and potential redesign conditions</t>
        </is>
      </c>
      <c r="H16" s="6" t="inlineStr">
        <is>
          <t>Consents Lead</t>
        </is>
      </c>
      <c r="I16" s="6" t="inlineStr">
        <is>
          <t>Authority plan, consent tracker, early submissions, stakeholder map</t>
        </is>
      </c>
      <c r="J16" s="6" t="inlineStr">
        <is>
          <t>Consent milestone slips by 30 days</t>
        </is>
      </c>
      <c r="K16" s="6" t="inlineStr">
        <is>
          <t>Medium</t>
        </is>
      </c>
      <c r="L16" s="6" t="inlineStr">
        <is>
          <t>A1900</t>
        </is>
      </c>
      <c r="M16" s="6" t="inlineStr">
        <is>
          <t>Main construction / fabrication / assembly</t>
        </is>
      </c>
      <c r="N16" s="6" t="inlineStr">
        <is>
          <t>01.09</t>
        </is>
      </c>
      <c r="O16" s="6" t="inlineStr">
        <is>
          <t>Transport / Landing / Surface Logistics</t>
        </is>
      </c>
      <c r="P16" s="8" t="n">
        <v>0.706</v>
      </c>
      <c r="Q16" s="9" t="n">
        <v>24.5</v>
      </c>
    </row>
    <row r="17">
      <c r="A17" s="6" t="inlineStr">
        <is>
          <t>R-014</t>
        </is>
      </c>
      <c r="B17" s="6" t="inlineStr">
        <is>
          <t>Stakeholder change</t>
        </is>
      </c>
      <c r="C17" s="6" t="inlineStr">
        <is>
          <t>Delivery</t>
        </is>
      </c>
      <c r="D17" s="9" t="n">
        <v>42</v>
      </c>
      <c r="E17" s="6" t="inlineStr">
        <is>
          <t>Sponsor, operator or authority requirements evolve late</t>
        </is>
      </c>
      <c r="F17" s="6" t="inlineStr">
        <is>
          <t>Requirements change after baseline freeze</t>
        </is>
      </c>
      <c r="G17" s="6" t="inlineStr">
        <is>
          <t>Scope growth, redesign and approval delays</t>
        </is>
      </c>
      <c r="H17" s="6" t="inlineStr">
        <is>
          <t>Project Director</t>
        </is>
      </c>
      <c r="I17" s="6" t="inlineStr">
        <is>
          <t>Decision log, change board and stakeholder gates</t>
        </is>
      </c>
      <c r="J17" s="6" t="inlineStr">
        <is>
          <t>Late decision count increases</t>
        </is>
      </c>
      <c r="K17" s="6" t="inlineStr">
        <is>
          <t>Amber</t>
        </is>
      </c>
      <c r="L17" s="6" t="inlineStr">
        <is>
          <t>A1700</t>
        </is>
      </c>
      <c r="M17" s="6" t="inlineStr">
        <is>
          <t>Linked schedule activity</t>
        </is>
      </c>
      <c r="N17" s="6" t="inlineStr">
        <is>
          <t>01.09</t>
        </is>
      </c>
      <c r="O17" s="6" t="inlineStr">
        <is>
          <t>Linked cost package</t>
        </is>
      </c>
      <c r="P17" s="8" t="n">
        <v>0.466</v>
      </c>
      <c r="Q17" s="9" t="n">
        <v>20.5</v>
      </c>
    </row>
    <row r="18">
      <c r="A18" s="6" t="inlineStr">
        <is>
          <t>R-S05</t>
        </is>
      </c>
      <c r="B18" s="6" t="inlineStr">
        <is>
          <t>Thermal / radiation design margin</t>
        </is>
      </c>
      <c r="C18" s="6" t="inlineStr">
        <is>
          <t>Delivery</t>
        </is>
      </c>
      <c r="D18" s="9" t="n">
        <v>46</v>
      </c>
      <c r="E18" s="6" t="inlineStr">
        <is>
          <t>Environment and shielding assumptions remain immature</t>
        </is>
      </c>
      <c r="F18" s="6" t="inlineStr">
        <is>
          <t>Thermal or radiation margins fail review</t>
        </is>
      </c>
      <c r="G18" s="6" t="inlineStr">
        <is>
          <t>Redesign, extra mass and launch cost increase</t>
        </is>
      </c>
      <c r="H18" s="6" t="inlineStr">
        <is>
          <t>Chief Engineer</t>
        </is>
      </c>
      <c r="I18" s="6" t="inlineStr">
        <is>
          <t>Thermal vacuum testing and radiation analysis</t>
        </is>
      </c>
      <c r="J18" s="6" t="inlineStr">
        <is>
          <t>Margin below threshold</t>
        </is>
      </c>
      <c r="K18" s="6" t="inlineStr">
        <is>
          <t>Red</t>
        </is>
      </c>
      <c r="L18" s="6" t="inlineStr">
        <is>
          <t>A1900</t>
        </is>
      </c>
      <c r="M18" s="6" t="inlineStr">
        <is>
          <t>Linked schedule activity</t>
        </is>
      </c>
      <c r="N18" s="6" t="inlineStr">
        <is>
          <t>01.03</t>
        </is>
      </c>
      <c r="O18" s="6" t="inlineStr">
        <is>
          <t>Linked cost package</t>
        </is>
      </c>
      <c r="P18" s="8" t="n">
        <v>0.417</v>
      </c>
      <c r="Q18" s="9" t="n">
        <v>22.4</v>
      </c>
    </row>
    <row r="19">
      <c r="A19" s="6" t="inlineStr">
        <is>
          <t>R-013</t>
        </is>
      </c>
      <c r="B19" s="6" t="inlineStr">
        <is>
          <t>Weather / environmental disruption</t>
        </is>
      </c>
      <c r="C19" s="6" t="inlineStr">
        <is>
          <t>Delivery</t>
        </is>
      </c>
      <c r="D19" s="9" t="n">
        <v>38</v>
      </c>
      <c r="E19" s="6" t="inlineStr">
        <is>
          <t>Extreme weather, environmental windows or site constraints not fully allowed</t>
        </is>
      </c>
      <c r="F19" s="6" t="inlineStr">
        <is>
          <t>Workface access or productivity is disrupted</t>
        </is>
      </c>
      <c r="G19" s="6" t="inlineStr">
        <is>
          <t>Delay, access cost and resequencing</t>
        </is>
      </c>
      <c r="H19" s="6" t="inlineStr">
        <is>
          <t>Construction Manager</t>
        </is>
      </c>
      <c r="I19" s="6" t="inlineStr">
        <is>
          <t>Weather calendars, contingency workfronts, protection strategy</t>
        </is>
      </c>
      <c r="J19" s="6" t="inlineStr">
        <is>
          <t>Weather downtime exceeds allowance</t>
        </is>
      </c>
      <c r="K19" s="6" t="inlineStr">
        <is>
          <t>Amber</t>
        </is>
      </c>
      <c r="L19" s="6" t="inlineStr">
        <is>
          <t>A1600</t>
        </is>
      </c>
      <c r="M19" s="6" t="inlineStr">
        <is>
          <t>Linked schedule activity</t>
        </is>
      </c>
      <c r="N19" s="6" t="inlineStr">
        <is>
          <t>01.08</t>
        </is>
      </c>
      <c r="O19" s="6" t="inlineStr">
        <is>
          <t>Linked cost package</t>
        </is>
      </c>
      <c r="P19" s="8" t="n">
        <v>0.345</v>
      </c>
      <c r="Q19" s="9" t="n">
        <v>16.2</v>
      </c>
    </row>
    <row r="20">
      <c r="A20" s="6" t="inlineStr">
        <is>
          <t>R-S04</t>
        </is>
      </c>
      <c r="B20" s="6" t="inlineStr">
        <is>
          <t>Launch window dependency</t>
        </is>
      </c>
      <c r="C20" s="6" t="inlineStr">
        <is>
          <t>Delivery</t>
        </is>
      </c>
      <c r="D20" s="9" t="n">
        <v>42</v>
      </c>
      <c r="E20" s="6" t="inlineStr">
        <is>
          <t>Orbital mechanics or launch provider availability constrains deployment</t>
        </is>
      </c>
      <c r="F20" s="6" t="inlineStr">
        <is>
          <t>Launch window missed</t>
        </is>
      </c>
      <c r="G20" s="6" t="inlineStr">
        <is>
          <t>Months of delay and re-manifest cost</t>
        </is>
      </c>
      <c r="H20" s="6" t="inlineStr">
        <is>
          <t>Mission Lead</t>
        </is>
      </c>
      <c r="I20" s="6" t="inlineStr">
        <is>
          <t>Backup launch windows and manifest options</t>
        </is>
      </c>
      <c r="J20" s="6" t="inlineStr">
        <is>
          <t>Launch readiness slips</t>
        </is>
      </c>
      <c r="K20" s="6" t="inlineStr">
        <is>
          <t>Amber</t>
        </is>
      </c>
      <c r="L20" s="6" t="inlineStr">
        <is>
          <t>A1800</t>
        </is>
      </c>
      <c r="M20" s="6" t="inlineStr">
        <is>
          <t>Linked schedule activity</t>
        </is>
      </c>
      <c r="N20" s="6" t="inlineStr">
        <is>
          <t>01.02</t>
        </is>
      </c>
      <c r="O20" s="6" t="inlineStr">
        <is>
          <t>Linked cost package</t>
        </is>
      </c>
      <c r="P20" s="8" t="n">
        <v>0.296</v>
      </c>
      <c r="Q20" s="9" t="n">
        <v>17.9</v>
      </c>
    </row>
    <row r="21">
      <c r="A21" s="6" t="inlineStr">
        <is>
          <t>R-018</t>
        </is>
      </c>
      <c r="B21" s="6" t="inlineStr">
        <is>
          <t>Interface ownership gap</t>
        </is>
      </c>
      <c r="C21" s="6" t="inlineStr">
        <is>
          <t>Delivery</t>
        </is>
      </c>
      <c r="D21" s="9" t="n">
        <v>30</v>
      </c>
      <c r="E21" s="6" t="inlineStr">
        <is>
          <t>RACI and package boundaries are unclear across packages</t>
        </is>
      </c>
      <c r="F21" s="6" t="inlineStr">
        <is>
          <t>Interface issue has no accountable owner</t>
        </is>
      </c>
      <c r="G21" s="6" t="inlineStr">
        <is>
          <t>Delay, claims and fragmented accountability</t>
        </is>
      </c>
      <c r="H21" s="6" t="inlineStr">
        <is>
          <t>Integration Manager</t>
        </is>
      </c>
      <c r="I21" s="6" t="inlineStr">
        <is>
          <t>Interface control documents and owner matrix</t>
        </is>
      </c>
      <c r="J21" s="6" t="inlineStr">
        <is>
          <t>Interface actions overdue</t>
        </is>
      </c>
      <c r="K21" s="6" t="inlineStr">
        <is>
          <t>Amber</t>
        </is>
      </c>
      <c r="L21" s="6" t="inlineStr">
        <is>
          <t>A2100</t>
        </is>
      </c>
      <c r="M21" s="6" t="inlineStr">
        <is>
          <t>Linked schedule activity</t>
        </is>
      </c>
      <c r="N21" s="6" t="inlineStr">
        <is>
          <t>01.02</t>
        </is>
      </c>
      <c r="O21" s="6" t="inlineStr">
        <is>
          <t>Linked cost package</t>
        </is>
      </c>
      <c r="P21" s="8" t="n">
        <v>0.272</v>
      </c>
      <c r="Q21" s="9" t="n">
        <v>21.8</v>
      </c>
    </row>
    <row r="22">
      <c r="A22" s="6" t="inlineStr">
        <is>
          <t>R-012</t>
        </is>
      </c>
      <c r="B22" s="6" t="inlineStr">
        <is>
          <t>Cyber / controls integration</t>
        </is>
      </c>
      <c r="C22" s="6" t="inlineStr">
        <is>
          <t>Delivery</t>
        </is>
      </c>
      <c r="D22" s="9" t="n">
        <v>34</v>
      </c>
      <c r="E22" s="6" t="inlineStr">
        <is>
          <t>Operational technology, control systems and network interfaces immature</t>
        </is>
      </c>
      <c r="F22" s="6" t="inlineStr">
        <is>
          <t>Controls integration fails testing</t>
        </is>
      </c>
      <c r="G22" s="6" t="inlineStr">
        <is>
          <t>Commissioning delay, resilience issue and operational risk</t>
        </is>
      </c>
      <c r="H22" s="6" t="inlineStr">
        <is>
          <t>Systems Lead</t>
        </is>
      </c>
      <c r="I22" s="6" t="inlineStr">
        <is>
          <t>Early cyber review, FAT/SAT plan, integration lab</t>
        </is>
      </c>
      <c r="J22" s="6" t="inlineStr">
        <is>
          <t>Controls defect trend increases</t>
        </is>
      </c>
      <c r="K22" s="6" t="inlineStr">
        <is>
          <t>Amber</t>
        </is>
      </c>
      <c r="L22" s="6" t="inlineStr">
        <is>
          <t>A1500</t>
        </is>
      </c>
      <c r="M22" s="6" t="inlineStr">
        <is>
          <t>Linked schedule activity</t>
        </is>
      </c>
      <c r="N22" s="6" t="inlineStr">
        <is>
          <t>01.07</t>
        </is>
      </c>
      <c r="O22" s="6" t="inlineStr">
        <is>
          <t>Linked cost package</t>
        </is>
      </c>
      <c r="P22" s="8" t="n">
        <v>0.24</v>
      </c>
      <c r="Q22" s="9" t="n">
        <v>24.7</v>
      </c>
    </row>
    <row r="23">
      <c r="A23" s="6" t="inlineStr">
        <is>
          <t>R-009</t>
        </is>
      </c>
      <c r="B23" s="6" t="inlineStr">
        <is>
          <t>Commercial claims escalation</t>
        </is>
      </c>
      <c r="C23" s="6" t="inlineStr">
        <is>
          <t>Delivery</t>
        </is>
      </c>
      <c r="D23" s="9" t="n">
        <v>22</v>
      </c>
      <c r="E23" s="6" t="inlineStr">
        <is>
          <t>Contract ambiguity, change volume and interface disputes</t>
        </is>
      </c>
      <c r="F23" s="6" t="inlineStr">
        <is>
          <t>Claims submitted above allowance</t>
        </is>
      </c>
      <c r="G23" s="6" t="inlineStr">
        <is>
          <t>Commercial pressure, management distraction and increased outturn cost</t>
        </is>
      </c>
      <c r="H23" s="6" t="inlineStr">
        <is>
          <t>Commercial Lead</t>
        </is>
      </c>
      <c r="I23" s="6" t="inlineStr">
        <is>
          <t>Tight change control, entitlement reviews, dispute avoidance board</t>
        </is>
      </c>
      <c r="J23" s="6" t="inlineStr">
        <is>
          <t>Claim volume exceeds baseline</t>
        </is>
      </c>
      <c r="K23" s="6" t="inlineStr">
        <is>
          <t>Green</t>
        </is>
      </c>
      <c r="L23" s="6" t="inlineStr">
        <is>
          <t>A2000</t>
        </is>
      </c>
      <c r="M23" s="6" t="inlineStr">
        <is>
          <t>Linked schedule activity</t>
        </is>
      </c>
      <c r="N23" s="6" t="inlineStr">
        <is>
          <t>01.04</t>
        </is>
      </c>
      <c r="O23" s="6" t="inlineStr">
        <is>
          <t>Linked cost package</t>
        </is>
      </c>
      <c r="P23" s="8" t="n">
        <v>0.244</v>
      </c>
      <c r="Q23" s="9" t="n">
        <v>12</v>
      </c>
    </row>
    <row r="24">
      <c r="A24" s="6" t="inlineStr">
        <is>
          <t>R-017</t>
        </is>
      </c>
      <c r="B24" s="6" t="inlineStr">
        <is>
          <t>Data / estimate basis weakness</t>
        </is>
      </c>
      <c r="C24" s="6" t="inlineStr">
        <is>
          <t>Delivery</t>
        </is>
      </c>
      <c r="D24" s="9" t="n">
        <v>26</v>
      </c>
      <c r="E24" s="6" t="inlineStr">
        <is>
          <t>Estimate source data, quantities or benchmarks are incomplete</t>
        </is>
      </c>
      <c r="F24" s="6" t="inlineStr">
        <is>
          <t>Baseline cannot be defended under challenge</t>
        </is>
      </c>
      <c r="G24" s="6" t="inlineStr">
        <is>
          <t>Confidence reduction and rework of cost plan</t>
        </is>
      </c>
      <c r="H24" s="6" t="inlineStr">
        <is>
          <t>Cost Lead</t>
        </is>
      </c>
      <c r="I24" s="6" t="inlineStr">
        <is>
          <t>Assumption register, benchmark evidence, quantity validation</t>
        </is>
      </c>
      <c r="J24" s="6" t="inlineStr">
        <is>
          <t>Unknown allowance exceeds threshold</t>
        </is>
      </c>
      <c r="K24" s="6" t="inlineStr">
        <is>
          <t>Amber</t>
        </is>
      </c>
      <c r="L24" s="6" t="inlineStr">
        <is>
          <t>A2000</t>
        </is>
      </c>
      <c r="M24" s="6" t="inlineStr">
        <is>
          <t>Linked schedule activity</t>
        </is>
      </c>
      <c r="N24" s="6" t="inlineStr">
        <is>
          <t>01.01</t>
        </is>
      </c>
      <c r="O24" s="6" t="inlineStr">
        <is>
          <t>Linked cost package</t>
        </is>
      </c>
      <c r="P24" s="8" t="n">
        <v>0.183</v>
      </c>
      <c r="Q24" s="9" t="n">
        <v>17.3</v>
      </c>
    </row>
    <row r="25">
      <c r="A25" s="6" t="inlineStr">
        <is>
          <t>R-011</t>
        </is>
      </c>
      <c r="B25" s="6" t="inlineStr">
        <is>
          <t>Quality failure / rework</t>
        </is>
      </c>
      <c r="C25" s="6" t="inlineStr">
        <is>
          <t>Delivery</t>
        </is>
      </c>
      <c r="D25" s="9" t="n">
        <v>30</v>
      </c>
      <c r="E25" s="6" t="inlineStr">
        <is>
          <t>Installation quality, vendor QA or inspection regime below need</t>
        </is>
      </c>
      <c r="F25" s="6" t="inlineStr">
        <is>
          <t>Inspection failure triggers rework</t>
        </is>
      </c>
      <c r="G25" s="6" t="inlineStr">
        <is>
          <t>Rework cost, schedule delay and confidence loss</t>
        </is>
      </c>
      <c r="H25" s="6" t="inlineStr">
        <is>
          <t>Quality Manager</t>
        </is>
      </c>
      <c r="I25" s="6" t="inlineStr">
        <is>
          <t>ITPs, hold points, vendor QA, right-first-time reviews</t>
        </is>
      </c>
      <c r="J25" s="6" t="inlineStr">
        <is>
          <t>NCR trend increases</t>
        </is>
      </c>
      <c r="K25" s="6" t="inlineStr">
        <is>
          <t>Amber</t>
        </is>
      </c>
      <c r="L25" s="6" t="inlineStr">
        <is>
          <t>A1400</t>
        </is>
      </c>
      <c r="M25" s="6" t="inlineStr">
        <is>
          <t>Linked schedule activity</t>
        </is>
      </c>
      <c r="N25" s="6" t="inlineStr">
        <is>
          <t>01.06</t>
        </is>
      </c>
      <c r="O25" s="6" t="inlineStr">
        <is>
          <t>Linked cost package</t>
        </is>
      </c>
      <c r="P25" s="8" t="n">
        <v>0.151</v>
      </c>
      <c r="Q25" s="9" t="n">
        <v>20</v>
      </c>
    </row>
    <row r="26">
      <c r="A26" s="6" t="inlineStr">
        <is>
          <t>R-015</t>
        </is>
      </c>
      <c r="B26" s="6" t="inlineStr">
        <is>
          <t>Funding / approval gate delay</t>
        </is>
      </c>
      <c r="C26" s="6" t="inlineStr">
        <is>
          <t>Delivery</t>
        </is>
      </c>
      <c r="D26" s="9" t="n">
        <v>46</v>
      </c>
      <c r="E26" s="6" t="inlineStr">
        <is>
          <t>Investment approvals or staged funding gates not aligned with procurement</t>
        </is>
      </c>
      <c r="F26" s="6" t="inlineStr">
        <is>
          <t>Capital release is delayed</t>
        </is>
      </c>
      <c r="G26" s="6" t="inlineStr">
        <is>
          <t>Procurement missed windows and schedule slippage</t>
        </is>
      </c>
      <c r="H26" s="6" t="inlineStr">
        <is>
          <t>Sponsor</t>
        </is>
      </c>
      <c r="I26" s="6" t="inlineStr">
        <is>
          <t>Approval roadmap, early board papers, contingency approvals</t>
        </is>
      </c>
      <c r="J26" s="6" t="inlineStr">
        <is>
          <t>Approval date slips</t>
        </is>
      </c>
      <c r="K26" s="6" t="inlineStr">
        <is>
          <t>Red</t>
        </is>
      </c>
      <c r="L26" s="6" t="inlineStr">
        <is>
          <t>A1800</t>
        </is>
      </c>
      <c r="M26" s="6" t="inlineStr">
        <is>
          <t>Linked schedule activity</t>
        </is>
      </c>
      <c r="N26" s="6" t="inlineStr">
        <is>
          <t>01.10</t>
        </is>
      </c>
      <c r="O26" s="6" t="inlineStr">
        <is>
          <t>Linked cost package</t>
        </is>
      </c>
      <c r="P26" s="8" t="n">
        <v>0.139</v>
      </c>
      <c r="Q26" s="9" t="n">
        <v>25.2</v>
      </c>
    </row>
    <row r="27">
      <c r="A27" s="6" t="inlineStr">
        <is>
          <t>R-016</t>
        </is>
      </c>
      <c r="B27" s="6" t="inlineStr">
        <is>
          <t>Commissioning readiness gap</t>
        </is>
      </c>
      <c r="C27" s="6" t="inlineStr">
        <is>
          <t>Delivery</t>
        </is>
      </c>
      <c r="D27" s="9" t="n">
        <v>22</v>
      </c>
      <c r="E27" s="6" t="inlineStr">
        <is>
          <t>Incomplete test packs, operational readiness or training gaps</t>
        </is>
      </c>
      <c r="F27" s="6" t="inlineStr">
        <is>
          <t>Commissioning starts without readiness</t>
        </is>
      </c>
      <c r="G27" s="6" t="inlineStr">
        <is>
          <t>Repeated tests, handover delay and operational risk</t>
        </is>
      </c>
      <c r="H27" s="6" t="inlineStr">
        <is>
          <t>Commissioning Lead</t>
        </is>
      </c>
      <c r="I27" s="6" t="inlineStr">
        <is>
          <t>Readiness dashboard, integrated test plan, early ORAT</t>
        </is>
      </c>
      <c r="J27" s="6" t="inlineStr">
        <is>
          <t>Readiness score below threshold</t>
        </is>
      </c>
      <c r="K27" s="6" t="inlineStr">
        <is>
          <t>Green</t>
        </is>
      </c>
      <c r="L27" s="6" t="inlineStr">
        <is>
          <t>A1900</t>
        </is>
      </c>
      <c r="M27" s="6" t="inlineStr">
        <is>
          <t>Linked schedule activity</t>
        </is>
      </c>
      <c r="N27" s="6" t="inlineStr">
        <is>
          <t>01.11</t>
        </is>
      </c>
      <c r="O27" s="6" t="inlineStr">
        <is>
          <t>Linked cost package</t>
        </is>
      </c>
      <c r="P27" s="8" t="n">
        <v>0.111</v>
      </c>
      <c r="Q27" s="9" t="n">
        <v>13.4</v>
      </c>
    </row>
    <row r="28">
      <c r="A28" s="6" t="inlineStr">
        <is>
          <t>R-010</t>
        </is>
      </c>
      <c r="B28" s="6" t="inlineStr">
        <is>
          <t>Resource availability</t>
        </is>
      </c>
      <c r="C28" s="6" t="inlineStr">
        <is>
          <t>Delivery</t>
        </is>
      </c>
      <c r="D28" s="9" t="n">
        <v>26</v>
      </c>
      <c r="E28" s="6" t="inlineStr">
        <is>
          <t>Labour, specialist supervisors or commissioning teams constrained</t>
        </is>
      </c>
      <c r="F28" s="6" t="inlineStr">
        <is>
          <t>Required resources are unavailable when planned</t>
        </is>
      </c>
      <c r="G28" s="6" t="inlineStr">
        <is>
          <t>Productivity loss, resequencing and higher preliminaries</t>
        </is>
      </c>
      <c r="H28" s="6" t="inlineStr">
        <is>
          <t>Delivery Lead</t>
        </is>
      </c>
      <c r="I28" s="6" t="inlineStr">
        <is>
          <t>Resource loading, framework call-offs, labour strategy</t>
        </is>
      </c>
      <c r="J28" s="6" t="inlineStr">
        <is>
          <t>Resource histogram red flag</t>
        </is>
      </c>
      <c r="K28" s="6" t="inlineStr">
        <is>
          <t>Amber</t>
        </is>
      </c>
      <c r="L28" s="6" t="inlineStr">
        <is>
          <t>A2100</t>
        </is>
      </c>
      <c r="M28" s="6" t="inlineStr">
        <is>
          <t>Linked schedule activity</t>
        </is>
      </c>
      <c r="N28" s="6" t="inlineStr">
        <is>
          <t>01.05</t>
        </is>
      </c>
      <c r="O28" s="6" t="inlineStr">
        <is>
          <t>Linked cost package</t>
        </is>
      </c>
      <c r="P28" s="8" t="n">
        <v>0.079</v>
      </c>
      <c r="Q28" s="9" t="n">
        <v>15.8</v>
      </c>
    </row>
  </sheetData>
  <mergeCells count="1">
    <mergeCell ref="A1:Q1"/>
  </mergeCells>
  <conditionalFormatting sqref="K6:K28">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39.31</v>
      </c>
    </row>
    <row r="7">
      <c r="A7" s="6" t="n">
        <v>5</v>
      </c>
      <c r="B7" s="8" t="n">
        <v>40.82</v>
      </c>
    </row>
    <row r="8">
      <c r="A8" s="6" t="n">
        <v>10</v>
      </c>
      <c r="B8" s="8" t="n">
        <v>42.34</v>
      </c>
    </row>
    <row r="9">
      <c r="A9" s="6" t="n">
        <v>20</v>
      </c>
      <c r="B9" s="8" t="n">
        <v>44.86</v>
      </c>
    </row>
    <row r="10">
      <c r="A10" s="6" t="n">
        <v>30</v>
      </c>
      <c r="B10" s="8" t="n">
        <v>46.87</v>
      </c>
    </row>
    <row r="11">
      <c r="A11" s="6" t="n">
        <v>40</v>
      </c>
      <c r="B11" s="8" t="n">
        <v>48.89</v>
      </c>
    </row>
    <row r="12">
      <c r="A12" s="6" t="n">
        <v>50</v>
      </c>
      <c r="B12" s="8" t="n">
        <v>50.4</v>
      </c>
    </row>
    <row r="13">
      <c r="A13" s="6" t="n">
        <v>60</v>
      </c>
      <c r="B13" s="8" t="n">
        <v>53.42</v>
      </c>
    </row>
    <row r="14">
      <c r="A14" s="6" t="n">
        <v>70</v>
      </c>
      <c r="B14" s="8" t="n">
        <v>57.96</v>
      </c>
    </row>
    <row r="15">
      <c r="A15" s="6" t="n">
        <v>80</v>
      </c>
      <c r="B15" s="8" t="n">
        <v>65.52</v>
      </c>
    </row>
    <row r="16">
      <c r="A16" s="6" t="n">
        <v>90</v>
      </c>
      <c r="B16" s="8" t="n">
        <v>74.09</v>
      </c>
    </row>
    <row r="17">
      <c r="A17" s="6" t="n">
        <v>95</v>
      </c>
      <c r="B17" s="8" t="n">
        <v>79.63</v>
      </c>
    </row>
    <row r="18">
      <c r="A18" s="6" t="n">
        <v>99</v>
      </c>
      <c r="B18" s="8" t="n">
        <v>86.69</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100</v>
      </c>
    </row>
    <row r="7">
      <c r="A7" s="6" t="n">
        <v>5</v>
      </c>
      <c r="B7" s="9" t="n">
        <v>102</v>
      </c>
    </row>
    <row r="8">
      <c r="A8" s="6" t="n">
        <v>10</v>
      </c>
      <c r="B8" s="9" t="n">
        <v>105</v>
      </c>
    </row>
    <row r="9">
      <c r="A9" s="6" t="n">
        <v>20</v>
      </c>
      <c r="B9" s="9" t="n">
        <v>110</v>
      </c>
    </row>
    <row r="10">
      <c r="A10" s="6" t="n">
        <v>30</v>
      </c>
      <c r="B10" s="9" t="n">
        <v>115</v>
      </c>
    </row>
    <row r="11">
      <c r="A11" s="6" t="n">
        <v>40</v>
      </c>
      <c r="B11" s="9" t="n">
        <v>118</v>
      </c>
    </row>
    <row r="12">
      <c r="A12" s="6" t="n">
        <v>50</v>
      </c>
      <c r="B12" s="9" t="n">
        <v>122</v>
      </c>
    </row>
    <row r="13">
      <c r="A13" s="6" t="n">
        <v>60</v>
      </c>
      <c r="B13" s="9" t="n">
        <v>129</v>
      </c>
    </row>
    <row r="14">
      <c r="A14" s="6" t="n">
        <v>70</v>
      </c>
      <c r="B14" s="9" t="n">
        <v>140</v>
      </c>
    </row>
    <row r="15">
      <c r="A15" s="6" t="n">
        <v>80</v>
      </c>
      <c r="B15" s="9" t="n">
        <v>159</v>
      </c>
    </row>
    <row r="16">
      <c r="A16" s="6" t="n">
        <v>90</v>
      </c>
      <c r="B16" s="9" t="n">
        <v>179</v>
      </c>
    </row>
    <row r="17">
      <c r="A17" s="6" t="n">
        <v>95</v>
      </c>
      <c r="B17" s="9" t="n">
        <v>193</v>
      </c>
    </row>
    <row r="18">
      <c r="A18" s="6" t="n">
        <v>99</v>
      </c>
      <c r="B18" s="9" t="n">
        <v>210</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Launch manifest delay</t>
        </is>
      </c>
      <c r="C6" s="6" t="inlineStr">
        <is>
          <t>01.04</t>
        </is>
      </c>
      <c r="D6" s="8" t="n">
        <v>2.883</v>
      </c>
      <c r="E6" s="6" t="inlineStr">
        <is>
          <t>Reserve alternate launch slot, freeze payload interface, maintain launch-readiness checklist</t>
        </is>
      </c>
    </row>
    <row r="7">
      <c r="A7" s="6" t="n">
        <v>2</v>
      </c>
      <c r="B7" s="6" t="inlineStr">
        <is>
          <t>Mass growth</t>
        </is>
      </c>
      <c r="C7" s="6" t="inlineStr">
        <is>
          <t>01.05</t>
        </is>
      </c>
      <c r="D7" s="8" t="n">
        <v>2.883</v>
      </c>
      <c r="E7" s="6" t="inlineStr">
        <is>
          <t>Mass control board, margin policy, design-to-mass reviews</t>
        </is>
      </c>
    </row>
    <row r="8">
      <c r="A8" s="6" t="n">
        <v>3</v>
      </c>
      <c r="B8" s="6" t="inlineStr">
        <is>
          <t>Life-support reliability</t>
        </is>
      </c>
      <c r="C8" s="6" t="inlineStr">
        <is>
          <t>01.06</t>
        </is>
      </c>
      <c r="D8" s="8" t="n">
        <v>2.873</v>
      </c>
      <c r="E8" s="6" t="inlineStr">
        <is>
          <t>Prototype testing, redundancy, reliability growth, independent assurance</t>
        </is>
      </c>
    </row>
    <row r="9">
      <c r="A9" s="6" t="n">
        <v>4</v>
      </c>
      <c r="B9" s="6" t="inlineStr">
        <is>
          <t>Market escalation</t>
        </is>
      </c>
      <c r="C9" s="6" t="inlineStr">
        <is>
          <t>01.08</t>
        </is>
      </c>
      <c r="D9" s="8" t="n">
        <v>2.268</v>
      </c>
      <c r="E9" s="6" t="inlineStr">
        <is>
          <t>Early procurement, index-linked allowances, market testing, FX strategy</t>
        </is>
      </c>
    </row>
    <row r="10">
      <c r="A10" s="6" t="n">
        <v>5</v>
      </c>
      <c r="B10" s="6" t="inlineStr">
        <is>
          <t>Design maturity gap</t>
        </is>
      </c>
      <c r="C10" s="6" t="inlineStr">
        <is>
          <t>02.01</t>
        </is>
      </c>
      <c r="D10" s="8" t="n">
        <v>1.724</v>
      </c>
      <c r="E10" s="6" t="inlineStr">
        <is>
          <t>Design maturity gates, independent review, assumption register</t>
        </is>
      </c>
    </row>
    <row r="11">
      <c r="A11" s="6" t="n">
        <v>6</v>
      </c>
      <c r="B11" s="6" t="inlineStr">
        <is>
          <t>Scope growth</t>
        </is>
      </c>
      <c r="C11" s="6" t="inlineStr">
        <is>
          <t>01.07</t>
        </is>
      </c>
      <c r="D11" s="8" t="n">
        <v>1.693</v>
      </c>
      <c r="E11" s="6" t="inlineStr">
        <is>
          <t>Freeze scope baseline, change board, value gates, client decision log</t>
        </is>
      </c>
    </row>
    <row r="12">
      <c r="A12" s="6" t="n">
        <v>7</v>
      </c>
      <c r="B12" s="6" t="inlineStr">
        <is>
          <t>Productivity underperformance</t>
        </is>
      </c>
      <c r="C12" s="6" t="inlineStr">
        <is>
          <t>02.03</t>
        </is>
      </c>
      <c r="D12" s="8" t="n">
        <v>1.411</v>
      </c>
      <c r="E12" s="6" t="inlineStr">
        <is>
          <t>Package productivity controls, daily planning, earned value cadence</t>
        </is>
      </c>
    </row>
    <row r="13">
      <c r="A13" s="6" t="n">
        <v>8</v>
      </c>
      <c r="B13" s="6" t="inlineStr">
        <is>
          <t>Supply chain delay</t>
        </is>
      </c>
      <c r="C13" s="6" t="inlineStr">
        <is>
          <t>02.02</t>
        </is>
      </c>
      <c r="D13" s="8" t="n">
        <v>1.411</v>
      </c>
      <c r="E13" s="6" t="inlineStr">
        <is>
          <t>Alternate suppliers, early orders, expediting, framework options</t>
        </is>
      </c>
    </row>
    <row r="14">
      <c r="A14" s="6" t="n">
        <v>9</v>
      </c>
      <c r="B14" s="6" t="inlineStr">
        <is>
          <t>Interface misalignment</t>
        </is>
      </c>
      <c r="C14" s="6" t="inlineStr">
        <is>
          <t>03.02</t>
        </is>
      </c>
      <c r="D14" s="8" t="n">
        <v>1.2</v>
      </c>
      <c r="E14" s="6" t="inlineStr">
        <is>
          <t>Interface control documents, weekly interface board, accountable owners</t>
        </is>
      </c>
    </row>
    <row r="15">
      <c r="A15" s="6" t="n">
        <v>10</v>
      </c>
      <c r="B15" s="6" t="inlineStr">
        <is>
          <t>Commissioning delay</t>
        </is>
      </c>
      <c r="C15" s="6" t="inlineStr">
        <is>
          <t>03.01</t>
        </is>
      </c>
      <c r="D15" s="8" t="n">
        <v>0.968</v>
      </c>
      <c r="E15" s="6" t="inlineStr">
        <is>
          <t>Commissioning readiness plan, early test packs, digital systems integration</t>
        </is>
      </c>
    </row>
    <row r="16">
      <c r="A16" s="6" t="n">
        <v>11</v>
      </c>
      <c r="B16" s="6" t="inlineStr">
        <is>
          <t>Permits / approvals delay</t>
        </is>
      </c>
      <c r="C16" s="6" t="inlineStr">
        <is>
          <t>01.09</t>
        </is>
      </c>
      <c r="D16" s="8" t="n">
        <v>0.706</v>
      </c>
      <c r="E16" s="6" t="inlineStr">
        <is>
          <t>Authority plan, consent tracker, early submissions, stakeholder map</t>
        </is>
      </c>
    </row>
    <row r="17">
      <c r="A17" s="6" t="n">
        <v>12</v>
      </c>
      <c r="B17" s="6" t="inlineStr">
        <is>
          <t>Stakeholder change</t>
        </is>
      </c>
      <c r="C17" s="6" t="inlineStr">
        <is>
          <t>01.09</t>
        </is>
      </c>
      <c r="D17" s="8" t="n">
        <v>0.466</v>
      </c>
      <c r="E17" s="6" t="inlineStr">
        <is>
          <t>Decision log, change board and stakeholder gates</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Launch manifest delay</t>
        </is>
      </c>
      <c r="C6" s="6" t="inlineStr">
        <is>
          <t>A1400</t>
        </is>
      </c>
      <c r="D6" s="9" t="n">
        <v>31.2</v>
      </c>
      <c r="E6" s="6" t="inlineStr">
        <is>
          <t>Reserve alternate launch slot, freeze payload interface, maintain launch-readiness checklist</t>
        </is>
      </c>
    </row>
    <row r="7">
      <c r="A7" s="6" t="n">
        <v>2</v>
      </c>
      <c r="B7" s="6" t="inlineStr">
        <is>
          <t>Life-support reliability</t>
        </is>
      </c>
      <c r="C7" s="6" t="inlineStr">
        <is>
          <t>A1600</t>
        </is>
      </c>
      <c r="D7" s="9" t="n">
        <v>30.4</v>
      </c>
      <c r="E7" s="6" t="inlineStr">
        <is>
          <t>Prototype testing, redundancy, reliability growth, independent assurance</t>
        </is>
      </c>
    </row>
    <row r="8">
      <c r="A8" s="6" t="n">
        <v>3</v>
      </c>
      <c r="B8" s="6" t="inlineStr">
        <is>
          <t>Funding / approval gate delay</t>
        </is>
      </c>
      <c r="C8" s="6" t="inlineStr">
        <is>
          <t>A1800</t>
        </is>
      </c>
      <c r="D8" s="9" t="n">
        <v>25.2</v>
      </c>
      <c r="E8" s="6" t="inlineStr">
        <is>
          <t>Approval roadmap, early board papers, contingency approvals</t>
        </is>
      </c>
    </row>
    <row r="9">
      <c r="A9" s="6" t="n">
        <v>4</v>
      </c>
      <c r="B9" s="6" t="inlineStr">
        <is>
          <t>Cyber / controls integration</t>
        </is>
      </c>
      <c r="C9" s="6" t="inlineStr">
        <is>
          <t>A1500</t>
        </is>
      </c>
      <c r="D9" s="9" t="n">
        <v>24.7</v>
      </c>
      <c r="E9" s="6" t="inlineStr">
        <is>
          <t>Early cyber review, FAT/SAT plan, integration lab</t>
        </is>
      </c>
    </row>
    <row r="10">
      <c r="A10" s="6" t="n">
        <v>5</v>
      </c>
      <c r="B10" s="6" t="inlineStr">
        <is>
          <t>Permits / approvals delay</t>
        </is>
      </c>
      <c r="C10" s="6" t="inlineStr">
        <is>
          <t>A1900</t>
        </is>
      </c>
      <c r="D10" s="9" t="n">
        <v>24.5</v>
      </c>
      <c r="E10" s="6" t="inlineStr">
        <is>
          <t>Authority plan, consent tracker, early submissions, stakeholder map</t>
        </is>
      </c>
    </row>
    <row r="11">
      <c r="A11" s="6" t="n">
        <v>6</v>
      </c>
      <c r="B11" s="6" t="inlineStr">
        <is>
          <t>Mass growth</t>
        </is>
      </c>
      <c r="C11" s="6" t="inlineStr">
        <is>
          <t>A1500</t>
        </is>
      </c>
      <c r="D11" s="9" t="n">
        <v>24.2</v>
      </c>
      <c r="E11" s="6" t="inlineStr">
        <is>
          <t>Mass control board, margin policy, design-to-mass reviews</t>
        </is>
      </c>
    </row>
    <row r="12">
      <c r="A12" s="6" t="n">
        <v>7</v>
      </c>
      <c r="B12" s="6" t="inlineStr">
        <is>
          <t>Thermal / radiation design margin</t>
        </is>
      </c>
      <c r="C12" s="6" t="inlineStr">
        <is>
          <t>A1900</t>
        </is>
      </c>
      <c r="D12" s="9" t="n">
        <v>22.4</v>
      </c>
      <c r="E12" s="6" t="inlineStr">
        <is>
          <t>Thermal vacuum testing and radiation analysis</t>
        </is>
      </c>
    </row>
    <row r="13">
      <c r="A13" s="6" t="n">
        <v>8</v>
      </c>
      <c r="B13" s="6" t="inlineStr">
        <is>
          <t>Interface ownership gap</t>
        </is>
      </c>
      <c r="C13" s="6" t="inlineStr">
        <is>
          <t>A2100</t>
        </is>
      </c>
      <c r="D13" s="9" t="n">
        <v>21.8</v>
      </c>
      <c r="E13" s="6" t="inlineStr">
        <is>
          <t>Interface control documents and owner matrix</t>
        </is>
      </c>
    </row>
    <row r="14">
      <c r="A14" s="6" t="n">
        <v>9</v>
      </c>
      <c r="B14" s="6" t="inlineStr">
        <is>
          <t>Stakeholder change</t>
        </is>
      </c>
      <c r="C14" s="6" t="inlineStr">
        <is>
          <t>A1700</t>
        </is>
      </c>
      <c r="D14" s="9" t="n">
        <v>20.5</v>
      </c>
      <c r="E14" s="6" t="inlineStr">
        <is>
          <t>Decision log, change board and stakeholder gates</t>
        </is>
      </c>
    </row>
    <row r="15">
      <c r="A15" s="6" t="n">
        <v>10</v>
      </c>
      <c r="B15" s="6" t="inlineStr">
        <is>
          <t>Quality failure / rework</t>
        </is>
      </c>
      <c r="C15" s="6" t="inlineStr">
        <is>
          <t>A1400</t>
        </is>
      </c>
      <c r="D15" s="9" t="n">
        <v>20</v>
      </c>
      <c r="E15" s="6" t="inlineStr">
        <is>
          <t>ITPs, hold points, vendor QA, right-first-time reviews</t>
        </is>
      </c>
    </row>
    <row r="16">
      <c r="A16" s="6" t="n">
        <v>11</v>
      </c>
      <c r="B16" s="6" t="inlineStr">
        <is>
          <t>Scope growth</t>
        </is>
      </c>
      <c r="C16" s="6" t="inlineStr">
        <is>
          <t>A1700</t>
        </is>
      </c>
      <c r="D16" s="9" t="n">
        <v>18.9</v>
      </c>
      <c r="E16" s="6" t="inlineStr">
        <is>
          <t>Freeze scope baseline, change board, value gates, client decision log</t>
        </is>
      </c>
    </row>
    <row r="17">
      <c r="A17" s="6" t="n">
        <v>12</v>
      </c>
      <c r="B17" s="6" t="inlineStr">
        <is>
          <t>Launch window dependency</t>
        </is>
      </c>
      <c r="C17" s="6" t="inlineStr">
        <is>
          <t>A1800</t>
        </is>
      </c>
      <c r="D17" s="9" t="n">
        <v>17.9</v>
      </c>
      <c r="E17" s="6" t="inlineStr">
        <is>
          <t>Backup launch windows and manifest options</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9"/>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6</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24</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18</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49</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18</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6</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4</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6</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6</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10</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11</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7</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12</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11</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9</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27</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12</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7</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4</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6</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6</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10</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11</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7</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12</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11</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9</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27</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12</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7</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4</v>
      </c>
      <c r="G36" s="6" t="inlineStr">
        <is>
          <t>No</t>
        </is>
      </c>
      <c r="H36" s="6" t="inlineStr">
        <is>
          <t>Duration derived from sector schedule model, duration reflects technology qualification, payload integration, launch manifest, thermal/power validation and autonomous operations readiness..</t>
        </is>
      </c>
    </row>
    <row r="37">
      <c r="A37" s="6" t="inlineStr">
        <is>
          <t>4</t>
        </is>
      </c>
      <c r="B37" s="6" t="inlineStr">
        <is>
          <t>A1100</t>
        </is>
      </c>
      <c r="C37" s="6" t="inlineStr">
        <is>
          <t>Business Case</t>
        </is>
      </c>
      <c r="D37" s="6" t="inlineStr">
        <is>
          <t>Strategic brief, funding and approval</t>
        </is>
      </c>
      <c r="E37" s="6" t="inlineStr">
        <is>
          <t>A1000</t>
        </is>
      </c>
      <c r="F37" s="9" t="n">
        <v>6</v>
      </c>
      <c r="G37" s="6" t="inlineStr">
        <is>
          <t>No</t>
        </is>
      </c>
      <c r="H37" s="6" t="inlineStr">
        <is>
          <t>Duration derived from sector schedule model, duration reflects technology qualification, payload integration, launch manifest, thermal/power validation and autonomous operations readiness..</t>
        </is>
      </c>
    </row>
    <row r="38">
      <c r="A38" s="6" t="inlineStr">
        <is>
          <t>4</t>
        </is>
      </c>
      <c r="B38" s="6" t="inlineStr">
        <is>
          <t>A1200</t>
        </is>
      </c>
      <c r="C38" s="6" t="inlineStr">
        <is>
          <t>Scope</t>
        </is>
      </c>
      <c r="D38" s="6" t="inlineStr">
        <is>
          <t>Requirements definition and scope freeze</t>
        </is>
      </c>
      <c r="E38" s="6" t="inlineStr">
        <is>
          <t>A1100</t>
        </is>
      </c>
      <c r="F38" s="9" t="n">
        <v>6</v>
      </c>
      <c r="G38" s="6" t="inlineStr">
        <is>
          <t>No</t>
        </is>
      </c>
      <c r="H38" s="6" t="inlineStr">
        <is>
          <t>Duration derived from sector schedule model, duration reflects technology qualification, payload integration, launch manifest, thermal/power validation and autonomous operations readiness..</t>
        </is>
      </c>
    </row>
    <row r="39">
      <c r="A39" s="6" t="inlineStr">
        <is>
          <t>4</t>
        </is>
      </c>
      <c r="B39" s="6" t="inlineStr">
        <is>
          <t>A1300</t>
        </is>
      </c>
      <c r="C39" s="6" t="inlineStr">
        <is>
          <t>Design</t>
        </is>
      </c>
      <c r="D39" s="6" t="inlineStr">
        <is>
          <t>Concept / reference architecture</t>
        </is>
      </c>
      <c r="E39" s="6" t="inlineStr">
        <is>
          <t>A1200</t>
        </is>
      </c>
      <c r="F39" s="9" t="n">
        <v>10</v>
      </c>
      <c r="G39" s="6" t="inlineStr">
        <is>
          <t>No</t>
        </is>
      </c>
      <c r="H39" s="6" t="inlineStr">
        <is>
          <t>Duration derived from sector schedule model, duration reflects technology qualification, payload integration, launch manifest, thermal/power validation and autonomous operations readiness..</t>
        </is>
      </c>
    </row>
    <row r="40">
      <c r="A40" s="6" t="inlineStr">
        <is>
          <t>4</t>
        </is>
      </c>
      <c r="B40" s="6" t="inlineStr">
        <is>
          <t>A1400</t>
        </is>
      </c>
      <c r="C40" s="6" t="inlineStr">
        <is>
          <t>Consents</t>
        </is>
      </c>
      <c r="D40" s="6" t="inlineStr">
        <is>
          <t>Planning, regulatory and stakeholder approvals</t>
        </is>
      </c>
      <c r="E40" s="6" t="inlineStr">
        <is>
          <t>A1200</t>
        </is>
      </c>
      <c r="F40" s="9" t="n">
        <v>11</v>
      </c>
      <c r="G40" s="6" t="inlineStr">
        <is>
          <t>Yes</t>
        </is>
      </c>
      <c r="H40" s="6" t="inlineStr">
        <is>
          <t>Duration derived from sector schedule model, duration reflects technology qualification, payload integration, launch manifest, thermal/power validation and autonomous operations readiness..</t>
        </is>
      </c>
    </row>
    <row r="41">
      <c r="A41" s="6" t="inlineStr">
        <is>
          <t>4</t>
        </is>
      </c>
      <c r="B41" s="6" t="inlineStr">
        <is>
          <t>A1500</t>
        </is>
      </c>
      <c r="C41" s="6" t="inlineStr">
        <is>
          <t>Procurement</t>
        </is>
      </c>
      <c r="D41" s="6" t="inlineStr">
        <is>
          <t>Procurement strategy and tender packaging</t>
        </is>
      </c>
      <c r="E41" s="6" t="inlineStr">
        <is>
          <t>A1300</t>
        </is>
      </c>
      <c r="F41" s="9" t="n">
        <v>7</v>
      </c>
      <c r="G41" s="6" t="inlineStr">
        <is>
          <t>No</t>
        </is>
      </c>
      <c r="H41" s="6" t="inlineStr">
        <is>
          <t>Duration derived from sector schedule model, duration reflects technology qualification, payload integration, launch manifest, thermal/power validation and autonomous operations readiness..</t>
        </is>
      </c>
    </row>
    <row r="42">
      <c r="A42" s="6" t="inlineStr">
        <is>
          <t>4</t>
        </is>
      </c>
      <c r="B42" s="6" t="inlineStr">
        <is>
          <t>A1600</t>
        </is>
      </c>
      <c r="C42" s="6" t="inlineStr">
        <is>
          <t>Design</t>
        </is>
      </c>
      <c r="D42" s="6" t="inlineStr">
        <is>
          <t>Detailed design / IFC development</t>
        </is>
      </c>
      <c r="E42" s="6" t="inlineStr">
        <is>
          <t>A1300</t>
        </is>
      </c>
      <c r="F42" s="9" t="n">
        <v>12</v>
      </c>
      <c r="G42" s="6" t="inlineStr">
        <is>
          <t>No</t>
        </is>
      </c>
      <c r="H42" s="6" t="inlineStr">
        <is>
          <t>Duration derived from sector schedule model, duration reflects technology qualification, payload integration, launch manifest, thermal/power validation and autonomous operations readiness..</t>
        </is>
      </c>
    </row>
    <row r="43">
      <c r="A43" s="6" t="inlineStr">
        <is>
          <t>4</t>
        </is>
      </c>
      <c r="B43" s="6" t="inlineStr">
        <is>
          <t>A1700</t>
        </is>
      </c>
      <c r="C43" s="6" t="inlineStr">
        <is>
          <t>Procurement</t>
        </is>
      </c>
      <c r="D43" s="6" t="inlineStr">
        <is>
          <t>Long-lead procurement</t>
        </is>
      </c>
      <c r="E43" s="6" t="inlineStr">
        <is>
          <t>A1500</t>
        </is>
      </c>
      <c r="F43" s="9" t="n">
        <v>11</v>
      </c>
      <c r="G43" s="6" t="inlineStr">
        <is>
          <t>Yes</t>
        </is>
      </c>
      <c r="H43" s="6" t="inlineStr">
        <is>
          <t>Duration derived from sector schedule model, duration reflects technology qualification, payload integration, launch manifest, thermal/power validation and autonomous operations readiness..</t>
        </is>
      </c>
    </row>
    <row r="44">
      <c r="A44" s="6" t="inlineStr">
        <is>
          <t>4</t>
        </is>
      </c>
      <c r="B44" s="6" t="inlineStr">
        <is>
          <t>A1800</t>
        </is>
      </c>
      <c r="C44" s="6" t="inlineStr">
        <is>
          <t>Enabling</t>
        </is>
      </c>
      <c r="D44" s="6" t="inlineStr">
        <is>
          <t>Site / launch integration readiness</t>
        </is>
      </c>
      <c r="E44" s="6" t="inlineStr">
        <is>
          <t>A1400;A1500</t>
        </is>
      </c>
      <c r="F44" s="9" t="n">
        <v>9</v>
      </c>
      <c r="G44" s="6" t="inlineStr">
        <is>
          <t>No</t>
        </is>
      </c>
      <c r="H44" s="6" t="inlineStr">
        <is>
          <t>Duration derived from sector schedule model, duration reflects technology qualification, payload integration, launch manifest, thermal/power validation and autonomous operations readiness..</t>
        </is>
      </c>
    </row>
    <row r="45">
      <c r="A45" s="6" t="inlineStr">
        <is>
          <t>4</t>
        </is>
      </c>
      <c r="B45" s="6" t="inlineStr">
        <is>
          <t>A1900</t>
        </is>
      </c>
      <c r="C45" s="6" t="inlineStr">
        <is>
          <t>Delivery</t>
        </is>
      </c>
      <c r="D45" s="6" t="inlineStr">
        <is>
          <t>Main construction / fabrication / assembly</t>
        </is>
      </c>
      <c r="E45" s="6" t="inlineStr">
        <is>
          <t>A1600;A1700;A1800</t>
        </is>
      </c>
      <c r="F45" s="9" t="n">
        <v>27</v>
      </c>
      <c r="G45" s="6" t="inlineStr">
        <is>
          <t>Yes</t>
        </is>
      </c>
      <c r="H45" s="6" t="inlineStr">
        <is>
          <t>Duration reflects qualification, launch integration, deployment readiness and autonomous operations proving.</t>
        </is>
      </c>
    </row>
    <row r="46">
      <c r="A46" s="6" t="inlineStr">
        <is>
          <t>4</t>
        </is>
      </c>
      <c r="B46" s="6" t="inlineStr">
        <is>
          <t>A2000</t>
        </is>
      </c>
      <c r="C46" s="6" t="inlineStr">
        <is>
          <t>Integration</t>
        </is>
      </c>
      <c r="D46" s="6" t="inlineStr">
        <is>
          <t>Systems integration and testing</t>
        </is>
      </c>
      <c r="E46" s="6" t="inlineStr">
        <is>
          <t>A1900</t>
        </is>
      </c>
      <c r="F46" s="9" t="n">
        <v>12</v>
      </c>
      <c r="G46" s="6" t="inlineStr">
        <is>
          <t>Yes</t>
        </is>
      </c>
      <c r="H46" s="6" t="inlineStr">
        <is>
          <t>Duration derived from sector schedule model, duration reflects technology qualification, payload integration, launch manifest, thermal/power validation and autonomous operations readiness..</t>
        </is>
      </c>
    </row>
    <row r="47">
      <c r="A47" s="6" t="inlineStr">
        <is>
          <t>4</t>
        </is>
      </c>
      <c r="B47" s="6" t="inlineStr">
        <is>
          <t>A2100</t>
        </is>
      </c>
      <c r="C47" s="6" t="inlineStr">
        <is>
          <t>Handover</t>
        </is>
      </c>
      <c r="D47" s="6" t="inlineStr">
        <is>
          <t>Commissioning, operations readiness and closeout</t>
        </is>
      </c>
      <c r="E47" s="6" t="inlineStr">
        <is>
          <t>A2000</t>
        </is>
      </c>
      <c r="F47" s="9" t="n">
        <v>7</v>
      </c>
      <c r="G47" s="6" t="inlineStr">
        <is>
          <t>Yes</t>
        </is>
      </c>
      <c r="H47" s="6" t="inlineStr">
        <is>
          <t>Duration reflects qualification, launch integration, deployment readiness and autonomous operations proving.</t>
        </is>
      </c>
    </row>
    <row r="48">
      <c r="A48" s="6" t="inlineStr">
        <is>
          <t>4</t>
        </is>
      </c>
      <c r="B48" s="6" t="inlineStr">
        <is>
          <t>P1000</t>
        </is>
      </c>
      <c r="C48" s="6" t="inlineStr">
        <is>
          <t>Package</t>
        </is>
      </c>
      <c r="D48" s="6" t="inlineStr">
        <is>
          <t>Launch campaign</t>
        </is>
      </c>
      <c r="E48" s="6" t="inlineStr">
        <is>
          <t>A1900</t>
        </is>
      </c>
      <c r="F48" s="9" t="n">
        <v>4</v>
      </c>
      <c r="G48" s="6" t="inlineStr">
        <is>
          <t>Yes</t>
        </is>
      </c>
      <c r="H48" s="6" t="inlineStr">
        <is>
          <t>Duration derived from sector schedule model, duration reflects technology qualification, payload integration, launch manifest, thermal/power validation and autonomous operations readiness..</t>
        </is>
      </c>
    </row>
    <row r="49">
      <c r="A49" s="6" t="inlineStr">
        <is>
          <t>4</t>
        </is>
      </c>
      <c r="B49" s="6" t="inlineStr">
        <is>
          <t>P2000</t>
        </is>
      </c>
      <c r="C49" s="6" t="inlineStr">
        <is>
          <t>Package</t>
        </is>
      </c>
      <c r="D49" s="6" t="inlineStr">
        <is>
          <t>Payload integration</t>
        </is>
      </c>
      <c r="E49" s="6" t="inlineStr">
        <is>
          <t>P1000</t>
        </is>
      </c>
      <c r="F49" s="9" t="n">
        <v>4</v>
      </c>
      <c r="G49" s="6" t="inlineStr">
        <is>
          <t>Yes</t>
        </is>
      </c>
      <c r="H49" s="6" t="inlineStr">
        <is>
          <t>Duration derived from sector schedule model, duration reflects technology qualification, payload integration, launch manifest, thermal/power validation and autonomous operations readiness..</t>
        </is>
      </c>
    </row>
    <row r="50">
      <c r="A50" s="6" t="inlineStr">
        <is>
          <t>4</t>
        </is>
      </c>
      <c r="B50" s="6" t="inlineStr">
        <is>
          <t>P3000</t>
        </is>
      </c>
      <c r="C50" s="6" t="inlineStr">
        <is>
          <t>Package</t>
        </is>
      </c>
      <c r="D50" s="6" t="inlineStr">
        <is>
          <t>Power and ECLSS</t>
        </is>
      </c>
      <c r="E50" s="6" t="inlineStr">
        <is>
          <t>P2000</t>
        </is>
      </c>
      <c r="F50" s="9" t="n">
        <v>4</v>
      </c>
      <c r="G50" s="6" t="inlineStr">
        <is>
          <t>Yes</t>
        </is>
      </c>
      <c r="H50" s="6" t="inlineStr">
        <is>
          <t>Duration derived from sector schedule model, duration reflects technology qualification, payload integration, launch manifest, thermal/power validation and autonomous operations readiness..</t>
        </is>
      </c>
    </row>
    <row r="51">
      <c r="A51" s="6" t="inlineStr">
        <is>
          <t>4</t>
        </is>
      </c>
      <c r="B51" s="6" t="inlineStr">
        <is>
          <t>P4000</t>
        </is>
      </c>
      <c r="C51" s="6" t="inlineStr">
        <is>
          <t>Package</t>
        </is>
      </c>
      <c r="D51" s="6" t="inlineStr">
        <is>
          <t>Surface logistics</t>
        </is>
      </c>
      <c r="E51" s="6" t="inlineStr">
        <is>
          <t>P3000</t>
        </is>
      </c>
      <c r="F51" s="9" t="n">
        <v>4</v>
      </c>
      <c r="G51" s="6" t="inlineStr">
        <is>
          <t>Yes</t>
        </is>
      </c>
      <c r="H51" s="6" t="inlineStr">
        <is>
          <t>Duration derived from sector schedule model, duration reflects technology qualification, payload integration, launch manifest, thermal/power validation and autonomous operations readiness..</t>
        </is>
      </c>
    </row>
    <row r="52">
      <c r="A52" s="6" t="inlineStr">
        <is>
          <t>4</t>
        </is>
      </c>
      <c r="B52" s="6" t="inlineStr">
        <is>
          <t>P5000</t>
        </is>
      </c>
      <c r="C52" s="6" t="inlineStr">
        <is>
          <t>Package</t>
        </is>
      </c>
      <c r="D52" s="6" t="inlineStr">
        <is>
          <t>Mission operations</t>
        </is>
      </c>
      <c r="E52" s="6" t="inlineStr">
        <is>
          <t>P4000</t>
        </is>
      </c>
      <c r="F52" s="9" t="n">
        <v>4</v>
      </c>
      <c r="G52" s="6" t="inlineStr">
        <is>
          <t>Yes</t>
        </is>
      </c>
      <c r="H52" s="6" t="inlineStr">
        <is>
          <t>Duration derived from sector schedule model, duration reflects technology qualification, payload integration, launch manifest, thermal/power validation and autonomous operations readiness..</t>
        </is>
      </c>
    </row>
    <row r="53">
      <c r="A53" s="6" t="inlineStr">
        <is>
          <t>4</t>
        </is>
      </c>
      <c r="B53" s="6" t="inlineStr">
        <is>
          <t>P6000</t>
        </is>
      </c>
      <c r="C53" s="6" t="inlineStr">
        <is>
          <t>Package</t>
        </is>
      </c>
      <c r="D53" s="6" t="inlineStr">
        <is>
          <t>Robotic assembly</t>
        </is>
      </c>
      <c r="E53" s="6" t="inlineStr">
        <is>
          <t>P5000</t>
        </is>
      </c>
      <c r="F53" s="9" t="n">
        <v>4</v>
      </c>
      <c r="G53" s="6" t="inlineStr">
        <is>
          <t>Yes</t>
        </is>
      </c>
      <c r="H53" s="6" t="inlineStr">
        <is>
          <t>Duration derived from sector schedule model, duration reflects technology qualification, payload integration, launch manifest, thermal/power validation and autonomous operations readiness..</t>
        </is>
      </c>
    </row>
    <row r="54">
      <c r="A54" s="6" t="inlineStr">
        <is>
          <t>5</t>
        </is>
      </c>
      <c r="B54" s="6" t="inlineStr">
        <is>
          <t>A1000</t>
        </is>
      </c>
      <c r="C54" s="6" t="inlineStr">
        <is>
          <t>Governance</t>
        </is>
      </c>
      <c r="D54" s="6" t="inlineStr">
        <is>
          <t>Project initiation / controls setup</t>
        </is>
      </c>
      <c r="E54" s="6" t="n"/>
      <c r="F54" s="9" t="n">
        <v>4</v>
      </c>
      <c r="G54" s="6" t="inlineStr">
        <is>
          <t>No</t>
        </is>
      </c>
      <c r="H54" s="6" t="inlineStr">
        <is>
          <t>Duration derived from sector schedule model, selected schedule level and scenario compression/buffer logic.</t>
        </is>
      </c>
    </row>
    <row r="55">
      <c r="A55" s="6" t="inlineStr">
        <is>
          <t>5</t>
        </is>
      </c>
      <c r="B55" s="6" t="inlineStr">
        <is>
          <t>A1100</t>
        </is>
      </c>
      <c r="C55" s="6" t="inlineStr">
        <is>
          <t>Business Case</t>
        </is>
      </c>
      <c r="D55" s="6" t="inlineStr">
        <is>
          <t>Strategic brief, funding and approval</t>
        </is>
      </c>
      <c r="E55" s="6" t="inlineStr">
        <is>
          <t>A1000</t>
        </is>
      </c>
      <c r="F55" s="9" t="n">
        <v>6</v>
      </c>
      <c r="G55" s="6" t="inlineStr">
        <is>
          <t>No</t>
        </is>
      </c>
      <c r="H55" s="6" t="inlineStr">
        <is>
          <t>Duration derived from sector schedule model, selected schedule level and scenario compression/buffer logic.</t>
        </is>
      </c>
    </row>
    <row r="56">
      <c r="A56" s="6" t="inlineStr">
        <is>
          <t>5</t>
        </is>
      </c>
      <c r="B56" s="6" t="inlineStr">
        <is>
          <t>A1200</t>
        </is>
      </c>
      <c r="C56" s="6" t="inlineStr">
        <is>
          <t>Scope</t>
        </is>
      </c>
      <c r="D56" s="6" t="inlineStr">
        <is>
          <t>Requirements definition and scope freeze</t>
        </is>
      </c>
      <c r="E56" s="6" t="inlineStr">
        <is>
          <t>A1100</t>
        </is>
      </c>
      <c r="F56" s="9" t="n">
        <v>6</v>
      </c>
      <c r="G56" s="6" t="inlineStr">
        <is>
          <t>No</t>
        </is>
      </c>
      <c r="H56" s="6" t="inlineStr">
        <is>
          <t>Duration derived from sector schedule model, selected schedule level and scenario compression/buffer logic.</t>
        </is>
      </c>
    </row>
    <row r="57">
      <c r="A57" s="6" t="inlineStr">
        <is>
          <t>5</t>
        </is>
      </c>
      <c r="B57" s="6" t="inlineStr">
        <is>
          <t>A1300</t>
        </is>
      </c>
      <c r="C57" s="6" t="inlineStr">
        <is>
          <t>Design</t>
        </is>
      </c>
      <c r="D57" s="6" t="inlineStr">
        <is>
          <t>Concept / reference architecture</t>
        </is>
      </c>
      <c r="E57" s="6" t="inlineStr">
        <is>
          <t>A1200</t>
        </is>
      </c>
      <c r="F57" s="9" t="n">
        <v>10</v>
      </c>
      <c r="G57" s="6" t="inlineStr">
        <is>
          <t>No</t>
        </is>
      </c>
      <c r="H57" s="6" t="inlineStr">
        <is>
          <t>Duration derived from sector schedule model, selected schedule level and scenario compression/buffer logic.</t>
        </is>
      </c>
    </row>
    <row r="58">
      <c r="A58" s="6" t="inlineStr">
        <is>
          <t>5</t>
        </is>
      </c>
      <c r="B58" s="6" t="inlineStr">
        <is>
          <t>A1400</t>
        </is>
      </c>
      <c r="C58" s="6" t="inlineStr">
        <is>
          <t>Consents</t>
        </is>
      </c>
      <c r="D58" s="6" t="inlineStr">
        <is>
          <t>Planning, regulatory and stakeholder approvals</t>
        </is>
      </c>
      <c r="E58" s="6" t="inlineStr">
        <is>
          <t>A1200</t>
        </is>
      </c>
      <c r="F58" s="9" t="n">
        <v>11</v>
      </c>
      <c r="G58" s="6" t="inlineStr">
        <is>
          <t>Yes</t>
        </is>
      </c>
      <c r="H58" s="6" t="inlineStr">
        <is>
          <t>Duration derived from sector schedule model, selected schedule level and scenario compression/buffer logic.</t>
        </is>
      </c>
    </row>
    <row r="59">
      <c r="A59" s="6" t="inlineStr">
        <is>
          <t>5</t>
        </is>
      </c>
      <c r="B59" s="6" t="inlineStr">
        <is>
          <t>A1500</t>
        </is>
      </c>
      <c r="C59" s="6" t="inlineStr">
        <is>
          <t>Procurement</t>
        </is>
      </c>
      <c r="D59" s="6" t="inlineStr">
        <is>
          <t>Procurement strategy and tender packaging</t>
        </is>
      </c>
      <c r="E59" s="6" t="inlineStr">
        <is>
          <t>A1300</t>
        </is>
      </c>
      <c r="F59" s="9" t="n">
        <v>7</v>
      </c>
      <c r="G59" s="6" t="inlineStr">
        <is>
          <t>No</t>
        </is>
      </c>
      <c r="H59" s="6" t="inlineStr">
        <is>
          <t>Duration derived from sector schedule model, selected schedule level and scenario compression/buffer logic.</t>
        </is>
      </c>
    </row>
    <row r="60">
      <c r="A60" s="6" t="inlineStr">
        <is>
          <t>5</t>
        </is>
      </c>
      <c r="B60" s="6" t="inlineStr">
        <is>
          <t>A1600</t>
        </is>
      </c>
      <c r="C60" s="6" t="inlineStr">
        <is>
          <t>Design</t>
        </is>
      </c>
      <c r="D60" s="6" t="inlineStr">
        <is>
          <t>Detailed design / IFC development</t>
        </is>
      </c>
      <c r="E60" s="6" t="inlineStr">
        <is>
          <t>A1300</t>
        </is>
      </c>
      <c r="F60" s="9" t="n">
        <v>12</v>
      </c>
      <c r="G60" s="6" t="inlineStr">
        <is>
          <t>No</t>
        </is>
      </c>
      <c r="H60" s="6" t="inlineStr">
        <is>
          <t>Duration derived from sector schedule model, selected schedule level and scenario compression/buffer logic.</t>
        </is>
      </c>
    </row>
    <row r="61">
      <c r="A61" s="6" t="inlineStr">
        <is>
          <t>5</t>
        </is>
      </c>
      <c r="B61" s="6" t="inlineStr">
        <is>
          <t>A1700</t>
        </is>
      </c>
      <c r="C61" s="6" t="inlineStr">
        <is>
          <t>Procurement</t>
        </is>
      </c>
      <c r="D61" s="6" t="inlineStr">
        <is>
          <t>Long-lead procurement</t>
        </is>
      </c>
      <c r="E61" s="6" t="inlineStr">
        <is>
          <t>A1500</t>
        </is>
      </c>
      <c r="F61" s="9" t="n">
        <v>11</v>
      </c>
      <c r="G61" s="6" t="inlineStr">
        <is>
          <t>Yes</t>
        </is>
      </c>
      <c r="H61" s="6" t="inlineStr">
        <is>
          <t>Duration derived from sector schedule model, selected schedule level and scenario compression/buffer logic.</t>
        </is>
      </c>
    </row>
    <row r="62">
      <c r="A62" s="6" t="inlineStr">
        <is>
          <t>5</t>
        </is>
      </c>
      <c r="B62" s="6" t="inlineStr">
        <is>
          <t>A1800</t>
        </is>
      </c>
      <c r="C62" s="6" t="inlineStr">
        <is>
          <t>Enabling</t>
        </is>
      </c>
      <c r="D62" s="6" t="inlineStr">
        <is>
          <t>Site / launch integration readiness</t>
        </is>
      </c>
      <c r="E62" s="6" t="inlineStr">
        <is>
          <t>A1400;A1500</t>
        </is>
      </c>
      <c r="F62" s="9" t="n">
        <v>9</v>
      </c>
      <c r="G62" s="6" t="inlineStr">
        <is>
          <t>No</t>
        </is>
      </c>
      <c r="H62" s="6" t="inlineStr">
        <is>
          <t>Duration derived from sector schedule model, selected schedule level and scenario compression/buffer logic.</t>
        </is>
      </c>
    </row>
    <row r="63">
      <c r="A63" s="6" t="inlineStr">
        <is>
          <t>5</t>
        </is>
      </c>
      <c r="B63" s="6" t="inlineStr">
        <is>
          <t>A1900</t>
        </is>
      </c>
      <c r="C63" s="6" t="inlineStr">
        <is>
          <t>Delivery</t>
        </is>
      </c>
      <c r="D63" s="6" t="inlineStr">
        <is>
          <t>Main construction / fabrication / assembly</t>
        </is>
      </c>
      <c r="E63" s="6" t="inlineStr">
        <is>
          <t>A1600;A1700;A1800</t>
        </is>
      </c>
      <c r="F63" s="9" t="n">
        <v>27</v>
      </c>
      <c r="G63" s="6" t="inlineStr">
        <is>
          <t>Yes</t>
        </is>
      </c>
      <c r="H63" s="6" t="inlineStr">
        <is>
          <t>Duration derived from sector schedule model, selected schedule level and scenario compression/buffer logic.</t>
        </is>
      </c>
    </row>
    <row r="64">
      <c r="A64" s="6" t="inlineStr">
        <is>
          <t>5</t>
        </is>
      </c>
      <c r="B64" s="6" t="inlineStr">
        <is>
          <t>A2000</t>
        </is>
      </c>
      <c r="C64" s="6" t="inlineStr">
        <is>
          <t>Integration</t>
        </is>
      </c>
      <c r="D64" s="6" t="inlineStr">
        <is>
          <t>Systems integration and testing</t>
        </is>
      </c>
      <c r="E64" s="6" t="inlineStr">
        <is>
          <t>A1900</t>
        </is>
      </c>
      <c r="F64" s="9" t="n">
        <v>12</v>
      </c>
      <c r="G64" s="6" t="inlineStr">
        <is>
          <t>Yes</t>
        </is>
      </c>
      <c r="H64" s="6" t="inlineStr">
        <is>
          <t>Duration derived from sector schedule model, selected schedule level and scenario compression/buffer logic.</t>
        </is>
      </c>
    </row>
    <row r="65">
      <c r="A65" s="6" t="inlineStr">
        <is>
          <t>5</t>
        </is>
      </c>
      <c r="B65" s="6" t="inlineStr">
        <is>
          <t>A2100</t>
        </is>
      </c>
      <c r="C65" s="6" t="inlineStr">
        <is>
          <t>Handover</t>
        </is>
      </c>
      <c r="D65" s="6" t="inlineStr">
        <is>
          <t>Commissioning, operations readiness and closeout</t>
        </is>
      </c>
      <c r="E65" s="6" t="inlineStr">
        <is>
          <t>A2000</t>
        </is>
      </c>
      <c r="F65" s="9" t="n">
        <v>7</v>
      </c>
      <c r="G65" s="6" t="inlineStr">
        <is>
          <t>Yes</t>
        </is>
      </c>
      <c r="H65" s="6" t="inlineStr">
        <is>
          <t>Duration derived from sector schedule model, selected schedule level and scenario compression/buffer logic.</t>
        </is>
      </c>
    </row>
    <row r="66">
      <c r="A66" s="6" t="inlineStr">
        <is>
          <t>5</t>
        </is>
      </c>
      <c r="B66" s="6" t="inlineStr">
        <is>
          <t>P1000</t>
        </is>
      </c>
      <c r="C66" s="6" t="inlineStr">
        <is>
          <t>Package</t>
        </is>
      </c>
      <c r="D66" s="6" t="inlineStr">
        <is>
          <t>Launch campaign</t>
        </is>
      </c>
      <c r="E66" s="6" t="inlineStr">
        <is>
          <t>A1900</t>
        </is>
      </c>
      <c r="F66" s="9" t="n">
        <v>4</v>
      </c>
      <c r="G66" s="6" t="inlineStr">
        <is>
          <t>Yes</t>
        </is>
      </c>
      <c r="H66" s="6" t="inlineStr">
        <is>
          <t>Duration derived from sector schedule model, selected schedule level and scenario compression/buffer logic.</t>
        </is>
      </c>
    </row>
    <row r="67">
      <c r="A67" s="6" t="inlineStr">
        <is>
          <t>5</t>
        </is>
      </c>
      <c r="B67" s="6" t="inlineStr">
        <is>
          <t>P1100</t>
        </is>
      </c>
      <c r="C67" s="6" t="inlineStr">
        <is>
          <t>Activity</t>
        </is>
      </c>
      <c r="D67" s="6" t="inlineStr">
        <is>
          <t>Launch campaign - mobilise / method</t>
        </is>
      </c>
      <c r="E67" s="6" t="inlineStr">
        <is>
          <t>A1900</t>
        </is>
      </c>
      <c r="F67" s="9" t="n">
        <v>1</v>
      </c>
      <c r="G67" s="6" t="inlineStr">
        <is>
          <t>Yes</t>
        </is>
      </c>
      <c r="H67" s="6" t="inlineStr">
        <is>
          <t>Duration derived from sector schedule model, selected schedule level and scenario compression/buffer logic.</t>
        </is>
      </c>
    </row>
    <row r="68">
      <c r="A68" s="6" t="inlineStr">
        <is>
          <t>5</t>
        </is>
      </c>
      <c r="B68" s="6" t="inlineStr">
        <is>
          <t>P1200</t>
        </is>
      </c>
      <c r="C68" s="6" t="inlineStr">
        <is>
          <t>Activity</t>
        </is>
      </c>
      <c r="D68" s="6" t="inlineStr">
        <is>
          <t>Launch campaign - execute works</t>
        </is>
      </c>
      <c r="E68" s="6" t="inlineStr">
        <is>
          <t>P1100</t>
        </is>
      </c>
      <c r="F68" s="9" t="n">
        <v>3</v>
      </c>
      <c r="G68" s="6" t="inlineStr">
        <is>
          <t>Yes</t>
        </is>
      </c>
      <c r="H68" s="6" t="inlineStr">
        <is>
          <t>Duration derived from sector schedule model, selected schedule level and scenario compression/buffer logic.</t>
        </is>
      </c>
    </row>
    <row r="69">
      <c r="A69" s="6" t="inlineStr">
        <is>
          <t>5</t>
        </is>
      </c>
      <c r="B69" s="6" t="inlineStr">
        <is>
          <t>P1300</t>
        </is>
      </c>
      <c r="C69" s="6" t="inlineStr">
        <is>
          <t>Activity</t>
        </is>
      </c>
      <c r="D69" s="6" t="inlineStr">
        <is>
          <t>Launch campaign - inspect / closeout</t>
        </is>
      </c>
      <c r="E69" s="6" t="inlineStr">
        <is>
          <t>P1200</t>
        </is>
      </c>
      <c r="F69" s="9" t="n">
        <v>1</v>
      </c>
      <c r="G69" s="6" t="inlineStr">
        <is>
          <t>Yes</t>
        </is>
      </c>
      <c r="H69" s="6" t="inlineStr">
        <is>
          <t>Duration derived from sector schedule model, selected schedule level and scenario compression/buffer logic.</t>
        </is>
      </c>
    </row>
    <row r="70">
      <c r="A70" s="6" t="inlineStr">
        <is>
          <t>5</t>
        </is>
      </c>
      <c r="B70" s="6" t="inlineStr">
        <is>
          <t>P2000</t>
        </is>
      </c>
      <c r="C70" s="6" t="inlineStr">
        <is>
          <t>Package</t>
        </is>
      </c>
      <c r="D70" s="6" t="inlineStr">
        <is>
          <t>Payload integration</t>
        </is>
      </c>
      <c r="E70" s="6" t="inlineStr">
        <is>
          <t>P1000</t>
        </is>
      </c>
      <c r="F70" s="9" t="n">
        <v>4</v>
      </c>
      <c r="G70" s="6" t="inlineStr">
        <is>
          <t>Yes</t>
        </is>
      </c>
      <c r="H70" s="6" t="inlineStr">
        <is>
          <t>Duration derived from sector schedule model, selected schedule level and scenario compression/buffer logic.</t>
        </is>
      </c>
    </row>
    <row r="71">
      <c r="A71" s="6" t="inlineStr">
        <is>
          <t>5</t>
        </is>
      </c>
      <c r="B71" s="6" t="inlineStr">
        <is>
          <t>P2100</t>
        </is>
      </c>
      <c r="C71" s="6" t="inlineStr">
        <is>
          <t>Activity</t>
        </is>
      </c>
      <c r="D71" s="6" t="inlineStr">
        <is>
          <t>Payload integration - mobilise / method</t>
        </is>
      </c>
      <c r="E71" s="6" t="inlineStr">
        <is>
          <t>P1000</t>
        </is>
      </c>
      <c r="F71" s="9" t="n">
        <v>1</v>
      </c>
      <c r="G71" s="6" t="inlineStr">
        <is>
          <t>Yes</t>
        </is>
      </c>
      <c r="H71" s="6" t="inlineStr">
        <is>
          <t>Duration derived from sector schedule model, selected schedule level and scenario compression/buffer logic.</t>
        </is>
      </c>
    </row>
    <row r="72">
      <c r="A72" s="6" t="inlineStr">
        <is>
          <t>5</t>
        </is>
      </c>
      <c r="B72" s="6" t="inlineStr">
        <is>
          <t>P2200</t>
        </is>
      </c>
      <c r="C72" s="6" t="inlineStr">
        <is>
          <t>Activity</t>
        </is>
      </c>
      <c r="D72" s="6" t="inlineStr">
        <is>
          <t>Payload integration - execute works</t>
        </is>
      </c>
      <c r="E72" s="6" t="inlineStr">
        <is>
          <t>P2100</t>
        </is>
      </c>
      <c r="F72" s="9" t="n">
        <v>3</v>
      </c>
      <c r="G72" s="6" t="inlineStr">
        <is>
          <t>Yes</t>
        </is>
      </c>
      <c r="H72" s="6" t="inlineStr">
        <is>
          <t>Duration derived from sector schedule model, selected schedule level and scenario compression/buffer logic.</t>
        </is>
      </c>
    </row>
    <row r="73">
      <c r="A73" s="6" t="inlineStr">
        <is>
          <t>5</t>
        </is>
      </c>
      <c r="B73" s="6" t="inlineStr">
        <is>
          <t>P2300</t>
        </is>
      </c>
      <c r="C73" s="6" t="inlineStr">
        <is>
          <t>Activity</t>
        </is>
      </c>
      <c r="D73" s="6" t="inlineStr">
        <is>
          <t>Payload integration - inspect / closeout</t>
        </is>
      </c>
      <c r="E73" s="6" t="inlineStr">
        <is>
          <t>P2200</t>
        </is>
      </c>
      <c r="F73" s="9" t="n">
        <v>1</v>
      </c>
      <c r="G73" s="6" t="inlineStr">
        <is>
          <t>Yes</t>
        </is>
      </c>
      <c r="H73" s="6" t="inlineStr">
        <is>
          <t>Duration derived from sector schedule model, selected schedule level and scenario compression/buffer logic.</t>
        </is>
      </c>
    </row>
    <row r="74">
      <c r="A74" s="6" t="inlineStr">
        <is>
          <t>5</t>
        </is>
      </c>
      <c r="B74" s="6" t="inlineStr">
        <is>
          <t>P3000</t>
        </is>
      </c>
      <c r="C74" s="6" t="inlineStr">
        <is>
          <t>Package</t>
        </is>
      </c>
      <c r="D74" s="6" t="inlineStr">
        <is>
          <t>Power and ECLSS</t>
        </is>
      </c>
      <c r="E74" s="6" t="inlineStr">
        <is>
          <t>P2000</t>
        </is>
      </c>
      <c r="F74" s="9" t="n">
        <v>4</v>
      </c>
      <c r="G74" s="6" t="inlineStr">
        <is>
          <t>Yes</t>
        </is>
      </c>
      <c r="H74" s="6" t="inlineStr">
        <is>
          <t>Duration derived from sector schedule model, selected schedule level and scenario compression/buffer logic.</t>
        </is>
      </c>
    </row>
    <row r="75">
      <c r="A75" s="6" t="inlineStr">
        <is>
          <t>5</t>
        </is>
      </c>
      <c r="B75" s="6" t="inlineStr">
        <is>
          <t>P3100</t>
        </is>
      </c>
      <c r="C75" s="6" t="inlineStr">
        <is>
          <t>Activity</t>
        </is>
      </c>
      <c r="D75" s="6" t="inlineStr">
        <is>
          <t>Power and ECLSS - mobilise / method</t>
        </is>
      </c>
      <c r="E75" s="6" t="inlineStr">
        <is>
          <t>P2000</t>
        </is>
      </c>
      <c r="F75" s="9" t="n">
        <v>1</v>
      </c>
      <c r="G75" s="6" t="inlineStr">
        <is>
          <t>Yes</t>
        </is>
      </c>
      <c r="H75" s="6" t="inlineStr">
        <is>
          <t>Duration derived from sector schedule model, selected schedule level and scenario compression/buffer logic.</t>
        </is>
      </c>
    </row>
    <row r="76">
      <c r="A76" s="6" t="inlineStr">
        <is>
          <t>5</t>
        </is>
      </c>
      <c r="B76" s="6" t="inlineStr">
        <is>
          <t>P3200</t>
        </is>
      </c>
      <c r="C76" s="6" t="inlineStr">
        <is>
          <t>Activity</t>
        </is>
      </c>
      <c r="D76" s="6" t="inlineStr">
        <is>
          <t>Power and ECLSS - execute works</t>
        </is>
      </c>
      <c r="E76" s="6" t="inlineStr">
        <is>
          <t>P3100</t>
        </is>
      </c>
      <c r="F76" s="9" t="n">
        <v>3</v>
      </c>
      <c r="G76" s="6" t="inlineStr">
        <is>
          <t>Yes</t>
        </is>
      </c>
      <c r="H76" s="6" t="inlineStr">
        <is>
          <t>Duration derived from sector schedule model, selected schedule level and scenario compression/buffer logic.</t>
        </is>
      </c>
    </row>
    <row r="77">
      <c r="A77" s="6" t="inlineStr">
        <is>
          <t>5</t>
        </is>
      </c>
      <c r="B77" s="6" t="inlineStr">
        <is>
          <t>P3300</t>
        </is>
      </c>
      <c r="C77" s="6" t="inlineStr">
        <is>
          <t>Activity</t>
        </is>
      </c>
      <c r="D77" s="6" t="inlineStr">
        <is>
          <t>Power and ECLSS - inspect / closeout</t>
        </is>
      </c>
      <c r="E77" s="6" t="inlineStr">
        <is>
          <t>P3200</t>
        </is>
      </c>
      <c r="F77" s="9" t="n">
        <v>1</v>
      </c>
      <c r="G77" s="6" t="inlineStr">
        <is>
          <t>Yes</t>
        </is>
      </c>
      <c r="H77" s="6" t="inlineStr">
        <is>
          <t>Duration derived from sector schedule model, selected schedule level and scenario compression/buffer logic.</t>
        </is>
      </c>
    </row>
    <row r="78">
      <c r="A78" s="6" t="inlineStr">
        <is>
          <t>5</t>
        </is>
      </c>
      <c r="B78" s="6" t="inlineStr">
        <is>
          <t>P4000</t>
        </is>
      </c>
      <c r="C78" s="6" t="inlineStr">
        <is>
          <t>Package</t>
        </is>
      </c>
      <c r="D78" s="6" t="inlineStr">
        <is>
          <t>Surface logistics</t>
        </is>
      </c>
      <c r="E78" s="6" t="inlineStr">
        <is>
          <t>P3000</t>
        </is>
      </c>
      <c r="F78" s="9" t="n">
        <v>4</v>
      </c>
      <c r="G78" s="6" t="inlineStr">
        <is>
          <t>Yes</t>
        </is>
      </c>
      <c r="H78" s="6" t="inlineStr">
        <is>
          <t>Duration derived from sector schedule model, selected schedule level and scenario compression/buffer logic.</t>
        </is>
      </c>
    </row>
    <row r="79">
      <c r="A79" s="6" t="inlineStr">
        <is>
          <t>5</t>
        </is>
      </c>
      <c r="B79" s="6" t="inlineStr">
        <is>
          <t>P4100</t>
        </is>
      </c>
      <c r="C79" s="6" t="inlineStr">
        <is>
          <t>Activity</t>
        </is>
      </c>
      <c r="D79" s="6" t="inlineStr">
        <is>
          <t>Surface logistics - mobilise / method</t>
        </is>
      </c>
      <c r="E79" s="6" t="inlineStr">
        <is>
          <t>P3000</t>
        </is>
      </c>
      <c r="F79" s="9" t="n">
        <v>1</v>
      </c>
      <c r="G79" s="6" t="inlineStr">
        <is>
          <t>Yes</t>
        </is>
      </c>
      <c r="H79" s="6" t="inlineStr">
        <is>
          <t>Duration derived from sector schedule model, selected schedule level and scenario compression/buffer logic.</t>
        </is>
      </c>
    </row>
    <row r="80">
      <c r="A80" s="6" t="inlineStr">
        <is>
          <t>5</t>
        </is>
      </c>
      <c r="B80" s="6" t="inlineStr">
        <is>
          <t>P4200</t>
        </is>
      </c>
      <c r="C80" s="6" t="inlineStr">
        <is>
          <t>Activity</t>
        </is>
      </c>
      <c r="D80" s="6" t="inlineStr">
        <is>
          <t>Surface logistics - execute works</t>
        </is>
      </c>
      <c r="E80" s="6" t="inlineStr">
        <is>
          <t>P4100</t>
        </is>
      </c>
      <c r="F80" s="9" t="n">
        <v>3</v>
      </c>
      <c r="G80" s="6" t="inlineStr">
        <is>
          <t>Yes</t>
        </is>
      </c>
      <c r="H80" s="6" t="inlineStr">
        <is>
          <t>Duration derived from sector schedule model, selected schedule level and scenario compression/buffer logic.</t>
        </is>
      </c>
    </row>
    <row r="81">
      <c r="A81" s="6" t="inlineStr">
        <is>
          <t>5</t>
        </is>
      </c>
      <c r="B81" s="6" t="inlineStr">
        <is>
          <t>P4300</t>
        </is>
      </c>
      <c r="C81" s="6" t="inlineStr">
        <is>
          <t>Activity</t>
        </is>
      </c>
      <c r="D81" s="6" t="inlineStr">
        <is>
          <t>Surface logistics - inspect / closeout</t>
        </is>
      </c>
      <c r="E81" s="6" t="inlineStr">
        <is>
          <t>P4200</t>
        </is>
      </c>
      <c r="F81" s="9" t="n">
        <v>1</v>
      </c>
      <c r="G81" s="6" t="inlineStr">
        <is>
          <t>Yes</t>
        </is>
      </c>
      <c r="H81" s="6" t="inlineStr">
        <is>
          <t>Duration derived from sector schedule model, selected schedule level and scenario compression/buffer logic.</t>
        </is>
      </c>
    </row>
    <row r="82">
      <c r="A82" s="6" t="inlineStr">
        <is>
          <t>5</t>
        </is>
      </c>
      <c r="B82" s="6" t="inlineStr">
        <is>
          <t>P5000</t>
        </is>
      </c>
      <c r="C82" s="6" t="inlineStr">
        <is>
          <t>Package</t>
        </is>
      </c>
      <c r="D82" s="6" t="inlineStr">
        <is>
          <t>Mission operations</t>
        </is>
      </c>
      <c r="E82" s="6" t="inlineStr">
        <is>
          <t>P4000</t>
        </is>
      </c>
      <c r="F82" s="9" t="n">
        <v>4</v>
      </c>
      <c r="G82" s="6" t="inlineStr">
        <is>
          <t>Yes</t>
        </is>
      </c>
      <c r="H82" s="6" t="inlineStr">
        <is>
          <t>Duration derived from sector schedule model, selected schedule level and scenario compression/buffer logic.</t>
        </is>
      </c>
    </row>
    <row r="83">
      <c r="A83" s="6" t="inlineStr">
        <is>
          <t>5</t>
        </is>
      </c>
      <c r="B83" s="6" t="inlineStr">
        <is>
          <t>P5100</t>
        </is>
      </c>
      <c r="C83" s="6" t="inlineStr">
        <is>
          <t>Activity</t>
        </is>
      </c>
      <c r="D83" s="6" t="inlineStr">
        <is>
          <t>Mission operations - mobilise / method</t>
        </is>
      </c>
      <c r="E83" s="6" t="inlineStr">
        <is>
          <t>P4000</t>
        </is>
      </c>
      <c r="F83" s="9" t="n">
        <v>1</v>
      </c>
      <c r="G83" s="6" t="inlineStr">
        <is>
          <t>Yes</t>
        </is>
      </c>
      <c r="H83" s="6" t="inlineStr">
        <is>
          <t>Duration derived from sector schedule model, selected schedule level and scenario compression/buffer logic.</t>
        </is>
      </c>
    </row>
    <row r="84">
      <c r="A84" s="6" t="inlineStr">
        <is>
          <t>5</t>
        </is>
      </c>
      <c r="B84" s="6" t="inlineStr">
        <is>
          <t>P5200</t>
        </is>
      </c>
      <c r="C84" s="6" t="inlineStr">
        <is>
          <t>Activity</t>
        </is>
      </c>
      <c r="D84" s="6" t="inlineStr">
        <is>
          <t>Mission operations - execute works</t>
        </is>
      </c>
      <c r="E84" s="6" t="inlineStr">
        <is>
          <t>P5100</t>
        </is>
      </c>
      <c r="F84" s="9" t="n">
        <v>3</v>
      </c>
      <c r="G84" s="6" t="inlineStr">
        <is>
          <t>Yes</t>
        </is>
      </c>
      <c r="H84" s="6" t="inlineStr">
        <is>
          <t>Duration derived from sector schedule model, selected schedule level and scenario compression/buffer logic.</t>
        </is>
      </c>
    </row>
    <row r="85">
      <c r="A85" s="6" t="inlineStr">
        <is>
          <t>5</t>
        </is>
      </c>
      <c r="B85" s="6" t="inlineStr">
        <is>
          <t>P5300</t>
        </is>
      </c>
      <c r="C85" s="6" t="inlineStr">
        <is>
          <t>Activity</t>
        </is>
      </c>
      <c r="D85" s="6" t="inlineStr">
        <is>
          <t>Mission operations - inspect / closeout</t>
        </is>
      </c>
      <c r="E85" s="6" t="inlineStr">
        <is>
          <t>P5200</t>
        </is>
      </c>
      <c r="F85" s="9" t="n">
        <v>1</v>
      </c>
      <c r="G85" s="6" t="inlineStr">
        <is>
          <t>Yes</t>
        </is>
      </c>
      <c r="H85" s="6" t="inlineStr">
        <is>
          <t>Duration derived from sector schedule model, selected schedule level and scenario compression/buffer logic.</t>
        </is>
      </c>
    </row>
    <row r="86">
      <c r="A86" s="6" t="inlineStr">
        <is>
          <t>5</t>
        </is>
      </c>
      <c r="B86" s="6" t="inlineStr">
        <is>
          <t>P6000</t>
        </is>
      </c>
      <c r="C86" s="6" t="inlineStr">
        <is>
          <t>Package</t>
        </is>
      </c>
      <c r="D86" s="6" t="inlineStr">
        <is>
          <t>Robotic assembly</t>
        </is>
      </c>
      <c r="E86" s="6" t="inlineStr">
        <is>
          <t>P5000</t>
        </is>
      </c>
      <c r="F86" s="9" t="n">
        <v>4</v>
      </c>
      <c r="G86" s="6" t="inlineStr">
        <is>
          <t>Yes</t>
        </is>
      </c>
      <c r="H86" s="6" t="inlineStr">
        <is>
          <t>Duration derived from sector schedule model, selected schedule level and scenario compression/buffer logic.</t>
        </is>
      </c>
    </row>
    <row r="87">
      <c r="A87" s="6" t="inlineStr">
        <is>
          <t>5</t>
        </is>
      </c>
      <c r="B87" s="6" t="inlineStr">
        <is>
          <t>P6100</t>
        </is>
      </c>
      <c r="C87" s="6" t="inlineStr">
        <is>
          <t>Activity</t>
        </is>
      </c>
      <c r="D87" s="6" t="inlineStr">
        <is>
          <t>Robotic assembly - mobilise / method</t>
        </is>
      </c>
      <c r="E87" s="6" t="inlineStr">
        <is>
          <t>P5000</t>
        </is>
      </c>
      <c r="F87" s="9" t="n">
        <v>1</v>
      </c>
      <c r="G87" s="6" t="inlineStr">
        <is>
          <t>Yes</t>
        </is>
      </c>
      <c r="H87" s="6" t="inlineStr">
        <is>
          <t>Duration derived from sector schedule model, selected schedule level and scenario compression/buffer logic.</t>
        </is>
      </c>
    </row>
    <row r="88">
      <c r="A88" s="6" t="inlineStr">
        <is>
          <t>5</t>
        </is>
      </c>
      <c r="B88" s="6" t="inlineStr">
        <is>
          <t>P6200</t>
        </is>
      </c>
      <c r="C88" s="6" t="inlineStr">
        <is>
          <t>Activity</t>
        </is>
      </c>
      <c r="D88" s="6" t="inlineStr">
        <is>
          <t>Robotic assembly - execute works</t>
        </is>
      </c>
      <c r="E88" s="6" t="inlineStr">
        <is>
          <t>P6100</t>
        </is>
      </c>
      <c r="F88" s="9" t="n">
        <v>3</v>
      </c>
      <c r="G88" s="6" t="inlineStr">
        <is>
          <t>Yes</t>
        </is>
      </c>
      <c r="H88" s="6" t="inlineStr">
        <is>
          <t>Duration derived from sector schedule model, selected schedule level and scenario compression/buffer logic.</t>
        </is>
      </c>
    </row>
    <row r="89">
      <c r="A89" s="6" t="inlineStr">
        <is>
          <t>5</t>
        </is>
      </c>
      <c r="B89" s="6" t="inlineStr">
        <is>
          <t>P6300</t>
        </is>
      </c>
      <c r="C89" s="6" t="inlineStr">
        <is>
          <t>Activity</t>
        </is>
      </c>
      <c r="D89" s="6" t="inlineStr">
        <is>
          <t>Robotic assembly - inspect / closeout</t>
        </is>
      </c>
      <c r="E89" s="6" t="inlineStr">
        <is>
          <t>P6200</t>
        </is>
      </c>
      <c r="F89" s="9" t="n">
        <v>1</v>
      </c>
      <c r="G89" s="6" t="inlineStr">
        <is>
          <t>Yes</t>
        </is>
      </c>
      <c r="H89"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Frontier Space Infrastructure on headline progress alone.
The programme should be governed through mission assurance, payload integration, launch-window dependency, range availability and qualification maturity. Current confidence (48%)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Vehicle or facility progress appears to support the target launch window.
CASEY view:
Mission assurance, payload integration and range readiness govern launch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qualification gate can stop launch?
2. Is range availability booked or assumed?
3. What payload integration risk is understated?
4. Can cadence survive one failed test event?
5. What evidence proves launch readiness beyond schedule intent?</t>
        </is>
      </c>
    </row>
    <row r="5">
      <c r="A5" s="17" t="inlineStr">
        <is>
          <t>What The Board Is Really Deciding</t>
        </is>
      </c>
      <c r="B5" s="17" t="inlineStr">
        <is>
          <t>WHAT THE BOARD IS REALLY DECIDING
The board is not simply approving cost and schedule.
The board is accepting:
- exposure to mission assurance, payload integration, launch-window dependency, range availability and qualification maturity
- the current evidence maturity position
- whether reserve is credible against P80/P90 behaviour
- whether management can recover if the governing constraint slips
Evidence required before unconditional approval:
- mission assurance closure matrix
- payload integration evidence
- range availability plan
- thermal/propulsion qualification gates
- launch readiness review criteria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"launch cadence assumptions exceeded payload, propulsion or mission-assurance maturity."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mission assurance, payload integration, launch-window dependency, range availability and qualification maturity with auditable evidence.
2. Convert the weakest assumption into an owned mitigation with trigger, date, owner and residual exposure.
3. Re-run P80/P90 after evidence closure, not after narrative revision.
Fastest confidence unlock:
Close the first missing evidence item: mission assurance closure matrix.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2026-05-24T16:47:45Z</dcterms:created>
  <dcterms:modified xmlns:dcterms="http://purl.org/dc/terms/" xmlns:xsi="http://www.w3.org/2001/XMLSchema-instance" xsi:type="dcterms:W3CDTF">2026-05-24T16:47:45Z</dcterms:modified>
</cp:coreProperties>
</file>